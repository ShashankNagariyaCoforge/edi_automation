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ffa8c6655ec87a/Desktop/Uponor/Uponor/Pace Supply/"/>
    </mc:Choice>
  </mc:AlternateContent>
  <xr:revisionPtr revIDLastSave="0" documentId="14_{6E76DDEB-3C8C-4A49-88F2-B31A6AD8560F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Cover" sheetId="7" r:id="rId1"/>
    <sheet name="Introduction" sheetId="5" r:id="rId2"/>
    <sheet name=" Inbound X12 to Oracle" sheetId="1" r:id="rId3"/>
    <sheet name="Sample Inbound Oracle File" sheetId="6" r:id="rId4"/>
    <sheet name="Sample X12" sheetId="8" r:id="rId5"/>
    <sheet name="(4) X12 cd values" sheetId="2" r:id="rId6"/>
  </sheets>
  <definedNames>
    <definedName name="_xlnm.Print_Area" localSheetId="2">' Inbound X12 to Oracle'!$A:$J</definedName>
    <definedName name="_xlnm.Print_Titles" localSheetId="2">' Inbound X12 to Oracle'!$1:$2</definedName>
  </definedNames>
  <calcPr calcId="191028"/>
</workbook>
</file>

<file path=xl/calcChain.xml><?xml version="1.0" encoding="utf-8"?>
<calcChain xmlns="http://schemas.openxmlformats.org/spreadsheetml/2006/main">
  <c r="H32" i="1" l="1"/>
  <c r="H33" i="1" s="1"/>
  <c r="H34" i="1" s="1"/>
  <c r="H35" i="1" s="1"/>
  <c r="H36" i="1" s="1"/>
  <c r="H37" i="1" s="1"/>
  <c r="H231" i="1" l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162" i="1"/>
  <c r="H163" i="1" s="1"/>
  <c r="H164" i="1" s="1"/>
  <c r="H165" i="1" s="1"/>
  <c r="H166" i="1" s="1"/>
  <c r="H167" i="1" s="1"/>
  <c r="H321" i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148" i="1"/>
  <c r="H149" i="1" s="1"/>
  <c r="H150" i="1" s="1"/>
  <c r="H151" i="1" s="1"/>
  <c r="H152" i="1" s="1"/>
  <c r="H153" i="1" s="1"/>
  <c r="H137" i="1"/>
  <c r="H138" i="1" s="1"/>
  <c r="H139" i="1" s="1"/>
  <c r="H140" i="1" s="1"/>
  <c r="H141" i="1" s="1"/>
  <c r="H142" i="1" s="1"/>
  <c r="H143" i="1" s="1"/>
  <c r="H144" i="1" s="1"/>
  <c r="H48" i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5" i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101" i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6" i="1"/>
  <c r="H127" i="1" s="1"/>
  <c r="H128" i="1" s="1"/>
  <c r="H129" i="1" s="1"/>
  <c r="H130" i="1" s="1"/>
  <c r="H131" i="1" s="1"/>
  <c r="H132" i="1" s="1"/>
  <c r="H133" i="1" s="1"/>
  <c r="H286" i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254" i="1"/>
  <c r="H255" i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03" i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177" i="1"/>
  <c r="H178" i="1" s="1"/>
  <c r="H179" i="1" s="1"/>
  <c r="H180" i="1" s="1"/>
  <c r="H181" i="1" s="1"/>
  <c r="H182" i="1" s="1"/>
  <c r="H185" i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</calcChain>
</file>

<file path=xl/sharedStrings.xml><?xml version="1.0" encoding="utf-8"?>
<sst xmlns="http://schemas.openxmlformats.org/spreadsheetml/2006/main" count="1150" uniqueCount="501">
  <si>
    <t>ELECTRONIC DATA INTERCHANGE (EDI) LAYOUT DOCUMENT</t>
  </si>
  <si>
    <t>Uponor</t>
  </si>
  <si>
    <t>Order to Cash</t>
  </si>
  <si>
    <t>Trans. Set 850 (Sales Order)</t>
  </si>
  <si>
    <t xml:space="preserve">Version: ANSI X12 4010 </t>
  </si>
  <si>
    <t xml:space="preserve">   Translator Mapping </t>
  </si>
  <si>
    <t>Authors:</t>
  </si>
  <si>
    <t>Creation Date:</t>
  </si>
  <si>
    <t>Last Updated:</t>
  </si>
  <si>
    <t>Document Ref:</t>
  </si>
  <si>
    <t>Uponor - Inbound 850 Transaction Mapping V0.xlsx</t>
  </si>
  <si>
    <t>Version:</t>
  </si>
  <si>
    <t>EDI Translator Mapping Document</t>
  </si>
  <si>
    <t>for 850 Inbound</t>
  </si>
  <si>
    <t>In this document you can find 4 worksheets.</t>
  </si>
  <si>
    <t xml:space="preserve">    1. Introduction - Describes the structure of the Oracle data file</t>
  </si>
  <si>
    <t xml:space="preserve">    2. Inbound X12 to Oracle tab - Describes mapping requirements for the flat file</t>
  </si>
  <si>
    <t xml:space="preserve">    3. Sample Inbound Oracle File tab - Displays a sample file </t>
  </si>
  <si>
    <t xml:space="preserve">    4. Sample X12 file Tab - A sample customer's X12 file. </t>
  </si>
  <si>
    <t>Looping of Oracle 850 Inbound Flat File</t>
  </si>
  <si>
    <t>Control Record</t>
  </si>
  <si>
    <t>0010</t>
  </si>
  <si>
    <t>Purchase Order Header</t>
  </si>
  <si>
    <t>1000 - 1699</t>
  </si>
  <si>
    <t>Credits (at OM Header Level)</t>
  </si>
  <si>
    <t>1700 - 1740</t>
  </si>
  <si>
    <t>Price Adjustments (at OM Header Level)</t>
  </si>
  <si>
    <t>1800 - 1850</t>
  </si>
  <si>
    <t>Reservations (at OM Header Level)</t>
  </si>
  <si>
    <t>(1900 - 1910)</t>
  </si>
  <si>
    <t>Actions (at OM Header Level)</t>
  </si>
  <si>
    <t>(1950 - 1990)</t>
  </si>
  <si>
    <t>Item (OM Line)</t>
  </si>
  <si>
    <t>2000 - 2900</t>
  </si>
  <si>
    <t>Shipment (OM Line Level)</t>
  </si>
  <si>
    <t>3000 - 3900</t>
  </si>
  <si>
    <t>Shipments</t>
  </si>
  <si>
    <t>(4000 - 4900)</t>
  </si>
  <si>
    <t>Credit (at OM Line Level)</t>
  </si>
  <si>
    <t>(5000 - 5900)</t>
  </si>
  <si>
    <t>Price Adjustments (at OM Line Level)</t>
  </si>
  <si>
    <t>(6000 - 6900)</t>
  </si>
  <si>
    <t>Reservations (at OM Line Level)</t>
  </si>
  <si>
    <t>(7000 - 7900)</t>
  </si>
  <si>
    <t>Action (at OM Line Level)</t>
  </si>
  <si>
    <t>(8000 - 8900)</t>
  </si>
  <si>
    <t>Lot Serial (at OM Line Level)</t>
  </si>
  <si>
    <t>(9000 - 9900)</t>
  </si>
  <si>
    <t>Oracle 850 Out Columns</t>
  </si>
  <si>
    <t>Rec</t>
  </si>
  <si>
    <t>- Record Number</t>
  </si>
  <si>
    <t>Pos.</t>
  </si>
  <si>
    <t>- Position</t>
  </si>
  <si>
    <t>Column Name</t>
  </si>
  <si>
    <t>- Column Name</t>
  </si>
  <si>
    <t>Used</t>
  </si>
  <si>
    <t>- Y = Mapped to X12
  X = Might be used</t>
  </si>
  <si>
    <t>Width</t>
  </si>
  <si>
    <t>- Field width</t>
  </si>
  <si>
    <t>Level</t>
  </si>
  <si>
    <t>- Oracle internal level</t>
  </si>
  <si>
    <t>Comments</t>
  </si>
  <si>
    <t>- Explanation or Comment</t>
  </si>
  <si>
    <t>Map To X12</t>
  </si>
  <si>
    <t>- Where is it mapped to</t>
  </si>
  <si>
    <t>Example</t>
  </si>
  <si>
    <t>- Data example</t>
  </si>
  <si>
    <t>ANSI X12 4010 850 Columns</t>
  </si>
  <si>
    <t>Seg.</t>
  </si>
  <si>
    <t>- Segment ID</t>
  </si>
  <si>
    <t>Occ./ Maximum</t>
  </si>
  <si>
    <t>- Occurrence / Maximum Occurrence of Segment in loop</t>
  </si>
  <si>
    <t>Element</t>
  </si>
  <si>
    <t>- Element + Position</t>
  </si>
  <si>
    <t>Type</t>
  </si>
  <si>
    <t>- Link = Can be dirrectly linked to source
  Translation = Source is used to trslate value
  Date Link = Tranlsation to proper Date format is needed
  Constant = Constant will be used to populate element
  Not Used = Element not used
  Combination = Use combination of more then one 
                        Oracle segments</t>
  </si>
  <si>
    <t>Source</t>
  </si>
  <si>
    <t>- Record Number / Position in Oracle layout</t>
  </si>
  <si>
    <t>Meaning</t>
  </si>
  <si>
    <t>- Menaing of field</t>
  </si>
  <si>
    <t>Optional/Mandatory</t>
  </si>
  <si>
    <t>- M = Mantdatory (always occurs)
  O = Oiptional
  X = Mandatory if ….</t>
  </si>
  <si>
    <t xml:space="preserve"> </t>
  </si>
  <si>
    <t>ANSI ASC X12</t>
  </si>
  <si>
    <t>Flat File Details</t>
  </si>
  <si>
    <t>Field Description</t>
  </si>
  <si>
    <t>Segment/Element</t>
  </si>
  <si>
    <t>Value</t>
  </si>
  <si>
    <t>Size</t>
  </si>
  <si>
    <t>Format</t>
  </si>
  <si>
    <t>Start Col</t>
  </si>
  <si>
    <t>Constant values and Comments</t>
  </si>
  <si>
    <t>0010 Record</t>
  </si>
  <si>
    <t>TP Translator Code</t>
  </si>
  <si>
    <t>GS02</t>
  </si>
  <si>
    <t>Char</t>
  </si>
  <si>
    <t>Header Identifier (Location Identifier)</t>
  </si>
  <si>
    <t>BEG03</t>
  </si>
  <si>
    <t>Detail Line Identifier</t>
  </si>
  <si>
    <t>Sub-Detail Line Identifier</t>
  </si>
  <si>
    <t>Record Number</t>
  </si>
  <si>
    <t xml:space="preserve">Record Type Identifier </t>
  </si>
  <si>
    <t>CT</t>
  </si>
  <si>
    <t>Record Layout Qualifier</t>
  </si>
  <si>
    <t>CTL</t>
  </si>
  <si>
    <t>Transaction_Method</t>
  </si>
  <si>
    <t>VARCHAR2</t>
  </si>
  <si>
    <t>Constant 'ED'</t>
  </si>
  <si>
    <t>Test_Indicator</t>
  </si>
  <si>
    <t>ISA15</t>
  </si>
  <si>
    <t>Constant 'T' or 'P'</t>
  </si>
  <si>
    <t>Document_ID</t>
  </si>
  <si>
    <t>Constant 'POI'</t>
  </si>
  <si>
    <t>Document_Type</t>
  </si>
  <si>
    <t>Constant 'STAND'</t>
  </si>
  <si>
    <t>Document_Purpose_Code</t>
  </si>
  <si>
    <t>Constant 'OR'</t>
  </si>
  <si>
    <t>Document_Code</t>
  </si>
  <si>
    <t>TP_Translator_Code</t>
  </si>
  <si>
    <t>TP_Location_Code</t>
  </si>
  <si>
    <t>TP_Description</t>
  </si>
  <si>
    <t>TP_Reference_Ext1</t>
  </si>
  <si>
    <t>TP_Reference_Ext2</t>
  </si>
  <si>
    <t>Transaction_Date</t>
  </si>
  <si>
    <t>DATE</t>
  </si>
  <si>
    <t>Update with System Date - YYYYMMDD HHMMSS</t>
  </si>
  <si>
    <t>Transaction_Run_ID</t>
  </si>
  <si>
    <t>ISA13</t>
  </si>
  <si>
    <t>NUMBER</t>
  </si>
  <si>
    <t>Document_Standard</t>
  </si>
  <si>
    <t>Org_ID</t>
  </si>
  <si>
    <t>CONTROL1</t>
  </si>
  <si>
    <t>ISA Control Number</t>
  </si>
  <si>
    <t>CONTROL2</t>
  </si>
  <si>
    <t>GS Control Number</t>
  </si>
  <si>
    <t>CONTROL3</t>
  </si>
  <si>
    <t>ST  Control Number</t>
  </si>
  <si>
    <t>1000 Record</t>
  </si>
  <si>
    <t>PO</t>
  </si>
  <si>
    <t>PO1</t>
  </si>
  <si>
    <t>PARTIAL_SHIPMENTS_ALLOWED</t>
  </si>
  <si>
    <t>DROP_SHIP_FLAG</t>
  </si>
  <si>
    <t>OPERATION_CODE</t>
  </si>
  <si>
    <t>Constant 'INSERT'</t>
  </si>
  <si>
    <t>OPERATION_CODE_EXT1</t>
  </si>
  <si>
    <t>CUSTOMER_PO_NUMBER</t>
  </si>
  <si>
    <t>Customer PO Number</t>
  </si>
  <si>
    <t>ORDERED_DATE</t>
  </si>
  <si>
    <t>BEG05</t>
  </si>
  <si>
    <t>If present in BEG05, else Update with System Date - YYYYMMDD HHMMSS</t>
  </si>
  <si>
    <t>VERSION_NUMBER</t>
  </si>
  <si>
    <t>Order_Type</t>
  </si>
  <si>
    <t>BEG02</t>
  </si>
  <si>
    <t>Constant 'Order'</t>
  </si>
  <si>
    <t>Order_Type_Ext1</t>
  </si>
  <si>
    <t>ORDER_CATEGORY</t>
  </si>
  <si>
    <t>ORDER_CATEGORY_Ext1</t>
  </si>
  <si>
    <t>ORIG_SYS_DOCUMENT_REF</t>
  </si>
  <si>
    <t>ORDER_DATE_TYPE_CODE</t>
  </si>
  <si>
    <t>ORDER_DATE_TYPE_CODE_EXT1</t>
  </si>
  <si>
    <t>AGREEMENT</t>
  </si>
  <si>
    <t>AGREEMENT_EXT1</t>
  </si>
  <si>
    <t>BLANKET_NUMBER</t>
  </si>
  <si>
    <t>BOOKED_FLAG</t>
  </si>
  <si>
    <t>Constant value of 'Y'</t>
  </si>
  <si>
    <t>1060 Record</t>
  </si>
  <si>
    <t>PY</t>
  </si>
  <si>
    <t>CUR</t>
  </si>
  <si>
    <t>TRANSACTIONAL_CURR_CODE</t>
  </si>
  <si>
    <t>CUR02</t>
  </si>
  <si>
    <t>TRANSACTIONAL_CURR_CODE_EXT1</t>
  </si>
  <si>
    <t>CONVERSION_RATE_DATE</t>
  </si>
  <si>
    <t>CONVERSION_RATE</t>
  </si>
  <si>
    <t>TRANSACTIONAL_CURR</t>
  </si>
  <si>
    <t>CONVERSION_TYPE_CODE</t>
  </si>
  <si>
    <t>CONVERSION_TYPE_CODE_EXT1</t>
  </si>
  <si>
    <t>PAYMENT_AMOUNT</t>
  </si>
  <si>
    <t>PAYMENT_TYPE_CODE</t>
  </si>
  <si>
    <t>PAYMENT_TYPE_CODE_EXT1</t>
  </si>
  <si>
    <t>CREDIT_CARD_CODE</t>
  </si>
  <si>
    <t>CREDIT_CARD_Code_EXT1</t>
  </si>
  <si>
    <t>CREDIT_CARD_NUMBER</t>
  </si>
  <si>
    <t>CREDIT_CARD_EXPIRATION_DATE</t>
  </si>
  <si>
    <t>CREDIT_CARD_APPROVAL_DATE</t>
  </si>
  <si>
    <t>CREDIT_CARD_HOLDER_NAME</t>
  </si>
  <si>
    <t>CHECK_NUMBER</t>
  </si>
  <si>
    <t>1070 Record</t>
  </si>
  <si>
    <t>TAX</t>
  </si>
  <si>
    <t>CUSTOMER_PAYMENT_TERM</t>
  </si>
  <si>
    <t>CUSTOMER_PAYMENT_TERM_EXT1</t>
  </si>
  <si>
    <t>CUSTOMER_PAYMENT_TERM_EXT2</t>
  </si>
  <si>
    <t>CUSTOMER_PAYMENT_TERM_EXT3</t>
  </si>
  <si>
    <t>CUSTOMER_PAYMENT_TERM_EXT4</t>
  </si>
  <si>
    <t>CUSTOMER_PAYMENT_TERM_EXT5</t>
  </si>
  <si>
    <t>Tax_Exempt_Flag</t>
  </si>
  <si>
    <t>Tax_Exempt_Number</t>
  </si>
  <si>
    <t>Tax_Exempt_Reason</t>
  </si>
  <si>
    <t>Tax_Exempt_Reason_Code</t>
  </si>
  <si>
    <t>Tax_Exempt_Reason_Code_Ext1</t>
  </si>
  <si>
    <t>TAX_POINT</t>
  </si>
  <si>
    <t>TAX_POINT_CODE</t>
  </si>
  <si>
    <t>TAX_POINT_CODE_ext1</t>
  </si>
  <si>
    <t>PRICE_LIST</t>
  </si>
  <si>
    <t>PRICE_LIST_EXT1</t>
  </si>
  <si>
    <t>1100 Record</t>
  </si>
  <si>
    <t>NT</t>
  </si>
  <si>
    <t>SHP</t>
  </si>
  <si>
    <t>Shipping_Instructions_A</t>
  </si>
  <si>
    <t>Shipping_Instructions_B</t>
  </si>
  <si>
    <t>1110 Record</t>
  </si>
  <si>
    <t>Ship_Request_Date</t>
  </si>
  <si>
    <t>DTM02</t>
  </si>
  <si>
    <t>Date</t>
  </si>
  <si>
    <t>1200 Record</t>
  </si>
  <si>
    <t>A1</t>
  </si>
  <si>
    <t>PO Header Category</t>
  </si>
  <si>
    <t xml:space="preserve">PO Header Attribute 1
 </t>
  </si>
  <si>
    <t>EDI</t>
  </si>
  <si>
    <t xml:space="preserve">PO Header Attribute 2
</t>
  </si>
  <si>
    <t xml:space="preserve">PO Header Attribute 3
 </t>
  </si>
  <si>
    <t xml:space="preserve">PO Header Attribute 4
 </t>
  </si>
  <si>
    <t>1210 Record</t>
  </si>
  <si>
    <t>SRD</t>
  </si>
  <si>
    <t xml:space="preserve">PO Header Attribute 5
 </t>
  </si>
  <si>
    <t xml:space="preserve">PO Header Attribute 6
</t>
  </si>
  <si>
    <t xml:space="preserve">PO Header Attribute 7
 </t>
  </si>
  <si>
    <t xml:space="preserve">PO Header Attribute 8
 </t>
  </si>
  <si>
    <t xml:space="preserve">PO Header Attribute 9
 </t>
  </si>
  <si>
    <t>1400 Record</t>
  </si>
  <si>
    <t>AD</t>
  </si>
  <si>
    <t>SLD</t>
  </si>
  <si>
    <t>SOLD_TO_Addr_Code</t>
  </si>
  <si>
    <t>SOLD_TO_EDI_Location_Code</t>
  </si>
  <si>
    <t>(MAYBE GS02)</t>
  </si>
  <si>
    <t>Use TP Table based on Sender ID</t>
  </si>
  <si>
    <t>SOLD_TO_ADDRESS_NAME</t>
  </si>
  <si>
    <t>SOLD_TO_ADDRESS1</t>
  </si>
  <si>
    <t>SOLD_TO_ADDRESS2</t>
  </si>
  <si>
    <t>SOLD_TO_ADDRESS3</t>
  </si>
  <si>
    <t>SOLD_TO_ADDRESS4</t>
  </si>
  <si>
    <t>SOLD_TO_CITY</t>
  </si>
  <si>
    <t>SOLD_TO_POSTAL_CODE</t>
  </si>
  <si>
    <t>SOLD_TO_COUNTRY_INT</t>
  </si>
  <si>
    <t>SOLD_TO_COUNTRY_EXT1</t>
  </si>
  <si>
    <t>SOLD_TO_STATE_INT</t>
  </si>
  <si>
    <t>SOLD_TO_STATE_ext1</t>
  </si>
  <si>
    <t>SOLD_TO_PROVINCE_INT</t>
  </si>
  <si>
    <t>SOLD_TO_PROVINCE_ext1</t>
  </si>
  <si>
    <t>SOLD_TO_COUNTY</t>
  </si>
  <si>
    <t>SOLD_TO_ORG</t>
  </si>
  <si>
    <t>1500 Record</t>
  </si>
  <si>
    <t>ST1</t>
  </si>
  <si>
    <t>Ship_To_Address_Code</t>
  </si>
  <si>
    <t>Ship_To_EDI_Location_Code</t>
  </si>
  <si>
    <t>N104</t>
  </si>
  <si>
    <t>Ship_To_Address_Name</t>
  </si>
  <si>
    <t>Ship_To_Address1</t>
  </si>
  <si>
    <t>Ship_To_Address2</t>
  </si>
  <si>
    <t>Ship_To_Address3</t>
  </si>
  <si>
    <t>Ship_To_Address4</t>
  </si>
  <si>
    <t>Ship_To_City</t>
  </si>
  <si>
    <t>Ship_To_Postal_Code</t>
  </si>
  <si>
    <t>Ship_To_Country_INT</t>
  </si>
  <si>
    <t>Ship_To_Country_Ext1</t>
  </si>
  <si>
    <t>Ship_To_State_INT</t>
  </si>
  <si>
    <t>Ship_To_State_Ext1</t>
  </si>
  <si>
    <t>Ship_To_Province_INT</t>
  </si>
  <si>
    <t>Ship_To_Province_Ext1</t>
  </si>
  <si>
    <t>Ship_To_County</t>
  </si>
  <si>
    <t>SHIP_TO_ORG</t>
  </si>
  <si>
    <t>NOTE: LINE/SHIPMENT DATA starts on record 2000</t>
  </si>
  <si>
    <t>2000 Record</t>
  </si>
  <si>
    <t>PO101</t>
  </si>
  <si>
    <t>PO Line Number</t>
  </si>
  <si>
    <t>IT</t>
  </si>
  <si>
    <t>ITM</t>
  </si>
  <si>
    <t>Customer_Line_Number</t>
  </si>
  <si>
    <t>Customer PO Line Number (start col 101)</t>
  </si>
  <si>
    <t>Line_Number</t>
  </si>
  <si>
    <t>Inventory_Item</t>
  </si>
  <si>
    <t>Item_Revision</t>
  </si>
  <si>
    <t>Customer_Item_Name</t>
  </si>
  <si>
    <t>Customer_Item_Revision</t>
  </si>
  <si>
    <t>CUSTOMER_ITEM_ID_TYPE</t>
  </si>
  <si>
    <t>CUSTOMER_ITEM_ID_TYPE_ext1</t>
  </si>
  <si>
    <t>Orig_Sys_Document_Ref</t>
  </si>
  <si>
    <t xml:space="preserve">See ORIG_SYS_REF tab 
(CUST3 || '-' || Customer PO) </t>
  </si>
  <si>
    <t>Orig_Sys_Line_Ref</t>
  </si>
  <si>
    <t xml:space="preserve">PO101 </t>
  </si>
  <si>
    <t xml:space="preserve">Customer PO Line Number </t>
  </si>
  <si>
    <t>Item_Type_Code</t>
  </si>
  <si>
    <t>Item_Type_Code_EXT1</t>
  </si>
  <si>
    <t>LINE_TYPE</t>
  </si>
  <si>
    <t xml:space="preserve">  3000 Record</t>
  </si>
  <si>
    <t>LN</t>
  </si>
  <si>
    <t>LN1</t>
  </si>
  <si>
    <t>Calculate_Price_Flag</t>
  </si>
  <si>
    <t>Constant 'Y'.</t>
  </si>
  <si>
    <t>Pricing_Quantity</t>
  </si>
  <si>
    <t>PO102</t>
  </si>
  <si>
    <t>Pricing_Quantity_UOM</t>
  </si>
  <si>
    <t>PO103</t>
  </si>
  <si>
    <t>Pricing_Quantity_UOM_EXT1</t>
  </si>
  <si>
    <t>Customer_Item_Net_Price</t>
  </si>
  <si>
    <t>PO104</t>
  </si>
  <si>
    <t>Unit_List_Price</t>
  </si>
  <si>
    <t>Unit_Selling_Price</t>
  </si>
  <si>
    <t>Unit_Percent_Base_Price</t>
  </si>
  <si>
    <t>Unit_Selling_Percent</t>
  </si>
  <si>
    <t>Unit_List_Percent</t>
  </si>
  <si>
    <t>Pricing_Date</t>
  </si>
  <si>
    <t>Price_List</t>
  </si>
  <si>
    <t>Agreement</t>
  </si>
  <si>
    <t>End_Item_Unit_Number</t>
  </si>
  <si>
    <t>Source_Type_Code</t>
  </si>
  <si>
    <t>Option_Flag</t>
  </si>
  <si>
    <t>Top_Model_Line_Ref</t>
  </si>
  <si>
    <t>Link_To_Line_Ref</t>
  </si>
  <si>
    <t>Model_Group_Number</t>
  </si>
  <si>
    <t>Option_Number</t>
  </si>
  <si>
    <t>Component_Code</t>
  </si>
  <si>
    <t>Sort_Order</t>
  </si>
  <si>
    <t>4000 Record</t>
  </si>
  <si>
    <t>DT</t>
  </si>
  <si>
    <t>QTY</t>
  </si>
  <si>
    <t>Ship_Model_Complete_Flag</t>
  </si>
  <si>
    <t>AUTHORIZED_TO_SHIP_FLAG</t>
  </si>
  <si>
    <t>Shipment_Number</t>
  </si>
  <si>
    <t>Customer_Shipment_Number</t>
  </si>
  <si>
    <t>Sequential Number if there are multiple shipments per PO1 segment.</t>
  </si>
  <si>
    <t>Orig_Sys_Shipment_Ref</t>
  </si>
  <si>
    <t>Request_Date</t>
  </si>
  <si>
    <t>Ship Date from Header if one is not found on the line.
Otherwise, this is the line level requested ship date.</t>
  </si>
  <si>
    <t>Schedule_Date</t>
  </si>
  <si>
    <t>Schedule_Ship_Date</t>
  </si>
  <si>
    <t>Promise_Date</t>
  </si>
  <si>
    <t>Ordered_Quantity</t>
  </si>
  <si>
    <t>Line Item Quantity</t>
  </si>
  <si>
    <t>Order_Quantity_UOM</t>
  </si>
  <si>
    <t>UOM is 'EA' - Validate UOM Codes in Table</t>
  </si>
  <si>
    <t>Order_Quantity_UOM_EXT1</t>
  </si>
  <si>
    <t>Ordered_Quantity2</t>
  </si>
  <si>
    <t>Ordered_Quantity_UOM2</t>
  </si>
  <si>
    <t>Order_Quantity_UOM2_EXT1</t>
  </si>
  <si>
    <t>Shipped_Quantity</t>
  </si>
  <si>
    <t>Shipped_Quantity2</t>
  </si>
  <si>
    <t>REFERENCE_HEADER</t>
  </si>
  <si>
    <t>REFERENCE_LINE</t>
  </si>
  <si>
    <t>Reference_Type</t>
  </si>
  <si>
    <t>Cust_Model_Serial_Number</t>
  </si>
  <si>
    <t>SALESREP</t>
  </si>
  <si>
    <t>Operation_Code</t>
  </si>
  <si>
    <t>Operation_Code_ext1</t>
  </si>
  <si>
    <t>BLANKET_LINE_NUMBER</t>
  </si>
  <si>
    <t xml:space="preserve">4800 Record </t>
  </si>
  <si>
    <t>S168583X                 8860                                                              0010CTCTLEDPPOI   STANDOR                                   TC1000                        TL1000                                                                                                                                                                                                                                                                       20100525 142522000000000000000                         09876543211234567890ABCDEFGHIJ</t>
  </si>
  <si>
    <t xml:space="preserve">S168583X                 8860                                                              1000POPO1  INSERT         5507668-C                                         20100520 100601                      Order                                                                           5507668-C                                                                                                                                                                                       Y </t>
  </si>
  <si>
    <t>S168583X                 8860                                                              1060PYCURUSD</t>
  </si>
  <si>
    <t>S168583X                 8860                                                              1070PYTAX</t>
  </si>
  <si>
    <t>S168583X                 8860                                                              1100NTSHPThis is a Very Important Note at the Order Header Level (Shipping Instructions)                                                                                                                                                                                                                                                                                                                                 Continuation of my important Note</t>
  </si>
  <si>
    <t xml:space="preserve">S168583X                 8860                                                              1110NTSHP20100604                                                                  </t>
  </si>
  <si>
    <t xml:space="preserve">S168583X                 8860                                                              1200A1HD1      </t>
  </si>
  <si>
    <t xml:space="preserve">S168583X                 8860                                                              1210A2HD2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</si>
  <si>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S168583X                 8860                                                              1400ADSLD                                                            TL1000</t>
  </si>
  <si>
    <t>S168583X                 8860                                                              1500ADST1                                                            TL1000</t>
  </si>
  <si>
    <t>S168583X                 8860                                                              2000ITITM1                                                                                              12041-6991-01                                                                                                                               5507668-C                                         1</t>
  </si>
  <si>
    <t xml:space="preserve">S168583X                 8860                                                              3000LNLN1Y5.9                   EA           5.9                   5.9                   5.9                                                                                                    </t>
  </si>
  <si>
    <t xml:space="preserve">S168583X                 8860                                                              4000DTQTY                                                                                    20100604 154340                              20200604 154340000000000000001600    EA                                                                                                                                                                                                                                          </t>
  </si>
  <si>
    <t>S168583X                 8860                                                              4800ADST1                                                            TL1000</t>
  </si>
  <si>
    <t xml:space="preserve">X12 Qualifier </t>
  </si>
  <si>
    <t>in current inbound PO</t>
  </si>
  <si>
    <t>BEG02 PO Type:</t>
  </si>
  <si>
    <t xml:space="preserve">NE </t>
  </si>
  <si>
    <t>='</t>
  </si>
  <si>
    <t>New Order</t>
  </si>
  <si>
    <t>REF01:</t>
  </si>
  <si>
    <t>PER01</t>
  </si>
  <si>
    <t>BD</t>
  </si>
  <si>
    <t>Buyer</t>
  </si>
  <si>
    <t>Buyer name or Department</t>
  </si>
  <si>
    <t xml:space="preserve">N101  </t>
  </si>
  <si>
    <t>DA</t>
  </si>
  <si>
    <t>Delivery Address</t>
  </si>
  <si>
    <t>BY</t>
  </si>
  <si>
    <t>buyer</t>
  </si>
  <si>
    <t>OB</t>
  </si>
  <si>
    <t>OrderedBy</t>
  </si>
  <si>
    <t>VN</t>
  </si>
  <si>
    <t>vendor</t>
  </si>
  <si>
    <t>Z7</t>
  </si>
  <si>
    <t>Do not see this in the 4010 Standards.  
As I recall this is something used by JCPenney will check a JCPenney map</t>
  </si>
  <si>
    <t>PO108</t>
  </si>
  <si>
    <t>QUALIFIER</t>
  </si>
  <si>
    <t>BO</t>
  </si>
  <si>
    <t>Buyers Color</t>
  </si>
  <si>
    <t>CB</t>
  </si>
  <si>
    <t>Buyers Catalog</t>
  </si>
  <si>
    <t>IN</t>
  </si>
  <si>
    <t>Buyers Item Number</t>
  </si>
  <si>
    <t>Buyers Style Number</t>
  </si>
  <si>
    <t>IZ</t>
  </si>
  <si>
    <t>Buyers Size Code</t>
  </si>
  <si>
    <t>SK</t>
  </si>
  <si>
    <t>Stock Keeping Unit (SKU)</t>
  </si>
  <si>
    <t>SL</t>
  </si>
  <si>
    <t>Sellers Lot Number</t>
  </si>
  <si>
    <t>SZ</t>
  </si>
  <si>
    <t>Vendor's alphanumeric size code</t>
  </si>
  <si>
    <t>UP</t>
  </si>
  <si>
    <t>UPC Number</t>
  </si>
  <si>
    <t>VA</t>
  </si>
  <si>
    <t>Vendor Style</t>
  </si>
  <si>
    <t>Vendor's Item</t>
  </si>
  <si>
    <t>VP</t>
  </si>
  <si>
    <t>Vendor's Part</t>
  </si>
  <si>
    <t>PO105</t>
  </si>
  <si>
    <t>unit or basis of Unit price</t>
  </si>
  <si>
    <t>PID02</t>
  </si>
  <si>
    <t>RES</t>
  </si>
  <si>
    <t>No RES in 4010 - have an RSE - Regulatory entity code</t>
  </si>
  <si>
    <t>Do not see an 8 a 08 is product</t>
  </si>
  <si>
    <t>Vendor Color Description</t>
  </si>
  <si>
    <t>Vendor Size Description</t>
  </si>
  <si>
    <t>DTM01</t>
  </si>
  <si>
    <t>001</t>
  </si>
  <si>
    <t>Cancel After</t>
  </si>
  <si>
    <t>002</t>
  </si>
  <si>
    <t>Delivery Requested</t>
  </si>
  <si>
    <t>010</t>
  </si>
  <si>
    <t>Requested Ship</t>
  </si>
  <si>
    <t>037</t>
  </si>
  <si>
    <t>Ship not before</t>
  </si>
  <si>
    <t>038</t>
  </si>
  <si>
    <t>Ship No later</t>
  </si>
  <si>
    <t>063</t>
  </si>
  <si>
    <t>Do not deliver after</t>
  </si>
  <si>
    <t>064</t>
  </si>
  <si>
    <t>Do not deliver before</t>
  </si>
  <si>
    <t>Cancel if not shipped by</t>
  </si>
  <si>
    <t>Blake Smith</t>
  </si>
  <si>
    <t>Sender ID GS02</t>
  </si>
  <si>
    <t>N104 (ST qualifier)</t>
  </si>
  <si>
    <t>MSG01</t>
  </si>
  <si>
    <t>Qualifier 002</t>
  </si>
  <si>
    <t>EDI Location code N104 with ST Qualifier</t>
  </si>
  <si>
    <t>DS</t>
  </si>
  <si>
    <t>Dropship</t>
  </si>
  <si>
    <t>=</t>
  </si>
  <si>
    <t>Contract Number</t>
  </si>
  <si>
    <t>PR</t>
  </si>
  <si>
    <t>Price Quote Number</t>
  </si>
  <si>
    <t>If customer supplied VC, VN, or VP then populate else Leave NULL: 
It has the VC, VN, or VP vendor part if cust</t>
  </si>
  <si>
    <t>PO109</t>
  </si>
  <si>
    <t xml:space="preserve">If PO108 = BP then populate with PO109
</t>
  </si>
  <si>
    <t>1. ISA*00* *00* *ZZ*TST1PACESUPPLYC*12*9528912000T *250604*0806*U*00401*100000001*0*P*}</t>
  </si>
  <si>
    <t>2. GS*PO*TST1PACESUPPLYC*9528912000T*20250604*0806*1001*X*004010</t>
  </si>
  <si>
    <t>3. ST*850*1001</t>
  </si>
  <si>
    <t>4. BEG*00*SA*678678**20250604</t>
  </si>
  <si>
    <t>5. REF*IA*008015</t>
  </si>
  <si>
    <t>6. ITD************Net 30</t>
  </si>
  <si>
    <t>7. DTM*002*20250609</t>
  </si>
  <si>
    <t>8. N1*ST*STOCKTON - DC 99*92*99</t>
  </si>
  <si>
    <t>9. N3*4819 FITE COURT</t>
  </si>
  <si>
    <t>10. N4*STOCKTON*CA*95215</t>
  </si>
  <si>
    <t>11. N1*BT*Pace Supply Corp.*92*1234</t>
  </si>
  <si>
    <t>12. N3*PO Box 6407</t>
  </si>
  <si>
    <t>13. N4*Rohnert Park*CA*94927-6407*USA</t>
  </si>
  <si>
    <t>14. PO1*1*32*EA*516.51**VP*A1220500*BP*A1220500</t>
  </si>
  <si>
    <t>15. CTP********16528.32</t>
  </si>
  <si>
    <t>16. PID*F*08***1/2"" Wirsbo hePEX; 1;000-ft. coil</t>
  </si>
  <si>
    <t>17. PO1*2*3*EA*325.23**VP*A1921250*BP*A1921250</t>
  </si>
  <si>
    <t>18. CTP********975.69</t>
  </si>
  <si>
    <t>19. PID*F*08***1 1/4"" Wirsbo hePEX; 20-ft. straight length; 100 ft. (5 per bundle)</t>
  </si>
  <si>
    <t>20. PO1*3*4*EA*162.03**VP*A2670201*BP*A2670201</t>
  </si>
  <si>
    <t>21. CTP********648.12</t>
  </si>
  <si>
    <t>22. PID*F*08***EP Heating Manifold Assembly with Flow Meter, 2-loop</t>
  </si>
  <si>
    <t>23. PO1*4*2*EA*161.9**VP*A2700202*BP*A2700202</t>
  </si>
  <si>
    <t>24. CTP********323.8</t>
  </si>
  <si>
    <t>25. PID*F*08***Stainless-steel Manifold Assembly; 1"" with flow meter; B&amp;I; ball valve; 2 loops</t>
  </si>
  <si>
    <t>26. CTT*4</t>
  </si>
  <si>
    <t>27. AMT*TT*18475.93</t>
  </si>
  <si>
    <t>28. SE*26*1001</t>
  </si>
  <si>
    <t>29. GE*1*1001</t>
  </si>
  <si>
    <t>30. IEA*1*100000001</t>
  </si>
  <si>
    <t>If BEG02!= DS, then capture N104 of N1*ST loop
If BEG02=DS, then capture "N1*02 of N1*ST loop( first 3 characters)"+"_"+"N3*01(first 5 characters)+"_"+"N4*03(first5characters)" making a total max legth of 15 characters. 
Note -- Remove any spaces if you find in N1*02 or N3*01or N4*03</t>
  </si>
  <si>
    <t>0020 Record</t>
  </si>
  <si>
    <t>0020</t>
  </si>
  <si>
    <t>TH1</t>
  </si>
  <si>
    <t>TP_CONTEXT</t>
  </si>
  <si>
    <t>TP_ATTRIBUTE_1</t>
  </si>
  <si>
    <t>Sender ID GS02 (TO BE REVIEWED) Use one value for each customer
Use one constant value for the each trading partner</t>
  </si>
  <si>
    <t>TP_ATTRIBUTE_2</t>
  </si>
  <si>
    <t>N1|ST|04</t>
  </si>
  <si>
    <t>Please add the logic When BEG02=DS then capture "N1*02 of N1*ST loop( first 3 characters)"+"_"+"N3*01(first 5 characters)+"_"+"N4*03(first5characters)" making a total max legth of 15 characters. 
Note -- Remove any spaces if you find in N1*02 or N3*01or N4*03
When BEG02!=DS, then capture N104 of N1*ST loop</t>
  </si>
  <si>
    <t>TP_ATTRIBUTE_3</t>
  </si>
  <si>
    <t>TP_ATTRIBUTE_4</t>
  </si>
  <si>
    <t>Please add the logic When BEG02=DS then capture "N1*02( first 3 characters)"+"_"+"N3*01(first 5 characters)+"_"+"N4*03(first5characters)" making a total max legth of 15 characters. 
Note -- Remove any spaces if you find in N1*02 or N3*01or N4*03
When BEG02!=DS, then capture N104 of N1*ST loop</t>
  </si>
  <si>
    <t>REF02</t>
  </si>
  <si>
    <t>WHEN REF*Q1 exists:map the value as "Quote Number: " + REF02</t>
  </si>
  <si>
    <t>TD505</t>
  </si>
  <si>
    <t>If the value in MSG01 exists, Map all the MSG01 values received in the Purchase Order sepearated by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</si>
</sst>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24"/>
      <name val="Arial"/>
      <family val="2"/>
    </font>
    <font>
      <sz val="14"/>
      <name val="Arial"/>
      <family val="2"/>
    </font>
    <font>
      <sz val="10"/>
      <name val="Times New Roman"/>
      <family val="1"/>
    </font>
    <font>
      <sz val="20"/>
      <name val="Times New Roman"/>
      <family val="1"/>
    </font>
    <font>
      <sz val="24"/>
      <name val="Times New Roman"/>
      <family val="1"/>
    </font>
    <font>
      <sz val="36"/>
      <name val="Times New Roman"/>
      <family val="1"/>
    </font>
    <font>
      <sz val="7"/>
      <color rgb="FF1F282C"/>
      <name val="Inherit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EE2E6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vertical="top" wrapText="1"/>
    </xf>
    <xf numFmtId="0" fontId="2" fillId="3" borderId="3" xfId="0" applyFont="1" applyFill="1" applyBorder="1" applyAlignment="1">
      <alignment horizontal="left" vertical="top"/>
    </xf>
    <xf numFmtId="0" fontId="2" fillId="3" borderId="0" xfId="0" applyFont="1" applyFill="1" applyAlignment="1">
      <alignment vertical="top"/>
    </xf>
    <xf numFmtId="0" fontId="2" fillId="3" borderId="2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2" fillId="3" borderId="0" xfId="0" applyFont="1" applyFill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4" borderId="3" xfId="0" applyFont="1" applyFill="1" applyBorder="1" applyAlignment="1">
      <alignment horizontal="left" vertical="top"/>
    </xf>
    <xf numFmtId="0" fontId="2" fillId="4" borderId="0" xfId="0" applyFont="1" applyFill="1" applyAlignment="1">
      <alignment vertical="top"/>
    </xf>
    <xf numFmtId="0" fontId="2" fillId="4" borderId="2" xfId="0" quotePrefix="1" applyFont="1" applyFill="1" applyBorder="1" applyAlignment="1">
      <alignment horizontal="center" vertical="top"/>
    </xf>
    <xf numFmtId="0" fontId="2" fillId="4" borderId="0" xfId="0" applyFont="1" applyFill="1"/>
    <xf numFmtId="0" fontId="2" fillId="4" borderId="0" xfId="0" applyFont="1" applyFill="1" applyAlignment="1">
      <alignment horizontal="right" vertical="top"/>
    </xf>
    <xf numFmtId="0" fontId="2" fillId="4" borderId="1" xfId="0" applyFont="1" applyFill="1" applyBorder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2" xfId="0" quotePrefix="1" applyFont="1" applyBorder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4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2" borderId="0" xfId="0" applyFont="1" applyFill="1" applyAlignment="1">
      <alignment horizontal="right"/>
    </xf>
    <xf numFmtId="0" fontId="2" fillId="0" borderId="3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2" fillId="2" borderId="5" xfId="0" applyFont="1" applyFill="1" applyBorder="1" applyAlignment="1">
      <alignment horizontal="left"/>
    </xf>
    <xf numFmtId="0" fontId="2" fillId="4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0" fillId="6" borderId="0" xfId="0" applyFill="1"/>
    <xf numFmtId="0" fontId="0" fillId="6" borderId="0" xfId="0" applyFill="1" applyAlignment="1">
      <alignment horizontal="left" wrapText="1"/>
    </xf>
    <xf numFmtId="0" fontId="0" fillId="6" borderId="0" xfId="0" applyFill="1" applyAlignment="1">
      <alignment wrapText="1"/>
    </xf>
    <xf numFmtId="0" fontId="2" fillId="6" borderId="0" xfId="0" applyFont="1" applyFill="1" applyAlignment="1">
      <alignment horizontal="left" wrapText="1"/>
    </xf>
    <xf numFmtId="0" fontId="0" fillId="4" borderId="8" xfId="0" applyFill="1" applyBorder="1"/>
    <xf numFmtId="0" fontId="0" fillId="4" borderId="9" xfId="0" applyFill="1" applyBorder="1"/>
    <xf numFmtId="0" fontId="0" fillId="4" borderId="9" xfId="0" quotePrefix="1" applyFill="1" applyBorder="1"/>
    <xf numFmtId="0" fontId="0" fillId="4" borderId="10" xfId="0" applyFill="1" applyBorder="1"/>
    <xf numFmtId="0" fontId="0" fillId="4" borderId="0" xfId="0" applyFill="1"/>
    <xf numFmtId="0" fontId="1" fillId="4" borderId="0" xfId="0" applyFont="1" applyFill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5" borderId="8" xfId="0" applyFill="1" applyBorder="1"/>
    <xf numFmtId="0" fontId="1" fillId="5" borderId="9" xfId="0" applyFont="1" applyFill="1" applyBorder="1"/>
    <xf numFmtId="0" fontId="0" fillId="5" borderId="9" xfId="0" applyFill="1" applyBorder="1"/>
    <xf numFmtId="0" fontId="0" fillId="5" borderId="9" xfId="0" quotePrefix="1" applyFill="1" applyBorder="1"/>
    <xf numFmtId="0" fontId="0" fillId="5" borderId="10" xfId="0" applyFill="1" applyBorder="1"/>
    <xf numFmtId="0" fontId="1" fillId="5" borderId="0" xfId="0" applyFont="1" applyFill="1"/>
    <xf numFmtId="0" fontId="0" fillId="5" borderId="0" xfId="0" applyFill="1"/>
    <xf numFmtId="0" fontId="0" fillId="5" borderId="0" xfId="0" quotePrefix="1" applyFill="1"/>
    <xf numFmtId="0" fontId="1" fillId="7" borderId="8" xfId="0" applyFont="1" applyFill="1" applyBorder="1"/>
    <xf numFmtId="0" fontId="0" fillId="7" borderId="9" xfId="0" applyFill="1" applyBorder="1"/>
    <xf numFmtId="0" fontId="0" fillId="7" borderId="9" xfId="0" quotePrefix="1" applyFill="1" applyBorder="1"/>
    <xf numFmtId="0" fontId="0" fillId="7" borderId="10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0" xfId="0" applyFill="1"/>
    <xf numFmtId="0" fontId="0" fillId="7" borderId="0" xfId="0" quotePrefix="1" applyFill="1"/>
    <xf numFmtId="0" fontId="2" fillId="7" borderId="13" xfId="0" applyFont="1" applyFill="1" applyBorder="1"/>
    <xf numFmtId="0" fontId="2" fillId="7" borderId="0" xfId="0" applyFont="1" applyFill="1"/>
    <xf numFmtId="0" fontId="0" fillId="7" borderId="11" xfId="0" applyFill="1" applyBorder="1"/>
    <xf numFmtId="0" fontId="2" fillId="7" borderId="12" xfId="0" applyFont="1" applyFill="1" applyBorder="1"/>
    <xf numFmtId="0" fontId="0" fillId="7" borderId="12" xfId="0" applyFill="1" applyBorder="1"/>
    <xf numFmtId="0" fontId="2" fillId="5" borderId="0" xfId="0" applyFont="1" applyFill="1"/>
    <xf numFmtId="0" fontId="0" fillId="5" borderId="11" xfId="0" applyFill="1" applyBorder="1"/>
    <xf numFmtId="0" fontId="0" fillId="5" borderId="12" xfId="0" applyFill="1" applyBorder="1"/>
    <xf numFmtId="0" fontId="0" fillId="6" borderId="0" xfId="0" applyFill="1" applyAlignment="1" applyProtection="1">
      <alignment horizontal="left" vertical="top" wrapText="1"/>
      <protection locked="0"/>
    </xf>
    <xf numFmtId="0" fontId="1" fillId="6" borderId="0" xfId="0" applyFont="1" applyFill="1" applyAlignment="1" applyProtection="1">
      <alignment horizontal="left" vertical="top"/>
      <protection locked="0"/>
    </xf>
    <xf numFmtId="0" fontId="0" fillId="6" borderId="0" xfId="0" applyFill="1" applyAlignment="1" applyProtection="1">
      <alignment horizontal="left" vertical="top"/>
      <protection locked="0"/>
    </xf>
    <xf numFmtId="0" fontId="0" fillId="6" borderId="0" xfId="0" quotePrefix="1" applyFill="1" applyAlignment="1" applyProtection="1">
      <alignment horizontal="left" vertical="top"/>
      <protection locked="0"/>
    </xf>
    <xf numFmtId="0" fontId="0" fillId="0" borderId="0" xfId="0" applyAlignment="1">
      <alignment wrapText="1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15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wrapText="1"/>
    </xf>
    <xf numFmtId="0" fontId="9" fillId="0" borderId="15" xfId="0" applyFont="1" applyBorder="1" applyAlignment="1">
      <alignment horizontal="left" vertical="center" indent="1"/>
    </xf>
    <xf numFmtId="0" fontId="2" fillId="0" borderId="0" xfId="0" applyFont="1" applyFill="1" applyAlignment="1">
      <alignment horizontal="left" vertical="top" wrapText="1"/>
    </xf>
    <xf numFmtId="0" fontId="2" fillId="4" borderId="0" xfId="0" quotePrefix="1" applyFont="1" applyFill="1" applyAlignment="1">
      <alignment horizontal="left" vertical="top"/>
    </xf>
    <xf numFmtId="0" fontId="2" fillId="0" borderId="0" xfId="0" applyFont="1" applyBorder="1" applyAlignment="1">
      <alignment vertical="top"/>
    </xf>
    <xf numFmtId="0" fontId="8" fillId="0" borderId="0" xfId="0" applyFont="1" applyAlignment="1">
      <alignment horizontal="left" wrapText="1"/>
    </xf>
    <xf numFmtId="0" fontId="2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3" fillId="6" borderId="0" xfId="0" applyFont="1" applyFill="1" applyAlignment="1">
      <alignment horizontal="center" wrapText="1"/>
    </xf>
    <xf numFmtId="0" fontId="0" fillId="6" borderId="0" xfId="0" quotePrefix="1" applyFill="1" applyAlignment="1" applyProtection="1">
      <alignment horizontal="left" vertical="top" wrapText="1"/>
      <protection locked="0"/>
    </xf>
    <xf numFmtId="0" fontId="0" fillId="6" borderId="0" xfId="0" applyFill="1" applyAlignment="1" applyProtection="1">
      <alignment horizontal="left" vertical="top" wrapText="1"/>
      <protection locked="0"/>
    </xf>
    <xf numFmtId="0" fontId="4" fillId="6" borderId="0" xfId="0" applyFont="1" applyFill="1" applyAlignment="1">
      <alignment horizontal="left" wrapText="1"/>
    </xf>
    <xf numFmtId="0" fontId="4" fillId="6" borderId="0" xfId="0" applyFont="1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 vertical="top"/>
    </xf>
    <xf numFmtId="0" fontId="2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left" vertical="top"/>
    </xf>
    <xf numFmtId="0" fontId="2" fillId="8" borderId="0" xfId="0" applyFont="1" applyFill="1" applyAlignment="1">
      <alignment vertical="top"/>
    </xf>
    <xf numFmtId="0" fontId="2" fillId="8" borderId="2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vertical="top"/>
    </xf>
    <xf numFmtId="0" fontId="2" fillId="8" borderId="3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2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>
      <alignment vertical="top"/>
    </xf>
    <xf numFmtId="0" fontId="2" fillId="0" borderId="0" xfId="0" applyFont="1" applyFill="1" applyAlignment="1">
      <alignment horizontal="right" vertical="top"/>
    </xf>
    <xf numFmtId="0" fontId="2" fillId="8" borderId="0" xfId="0" applyFont="1" applyFill="1" applyAlignment="1">
      <alignment horizontal="right"/>
    </xf>
    <xf numFmtId="0" fontId="2" fillId="8" borderId="16" xfId="0" applyFont="1" applyFill="1" applyBorder="1" applyAlignment="1">
      <alignment horizontal="left" vertical="top"/>
    </xf>
    <xf numFmtId="0" fontId="2" fillId="8" borderId="16" xfId="0" applyFont="1" applyFill="1" applyBorder="1" applyAlignment="1">
      <alignment horizontal="left" vertical="top" wrapText="1"/>
    </xf>
    <xf numFmtId="0" fontId="2" fillId="8" borderId="16" xfId="0" applyFont="1" applyFill="1" applyBorder="1" applyAlignment="1">
      <alignment vertical="top"/>
    </xf>
    <xf numFmtId="0" fontId="2" fillId="8" borderId="16" xfId="0" applyFont="1" applyFill="1" applyBorder="1" applyAlignment="1">
      <alignment horizontal="center" vertical="top"/>
    </xf>
    <xf numFmtId="0" fontId="2" fillId="8" borderId="16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1</xdr:col>
      <xdr:colOff>2367915</xdr:colOff>
      <xdr:row>37</xdr:row>
      <xdr:rowOff>80010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06640"/>
          <a:ext cx="4219575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opLeftCell="A3" workbookViewId="0">
      <selection activeCell="B17" sqref="B17"/>
    </sheetView>
  </sheetViews>
  <sheetFormatPr defaultRowHeight="13.2"/>
  <cols>
    <col min="1" max="1" width="27" customWidth="1"/>
    <col min="2" max="2" width="43.5546875" customWidth="1"/>
  </cols>
  <sheetData>
    <row r="1" spans="1:4" ht="46.2">
      <c r="A1" s="104" t="s">
        <v>0</v>
      </c>
      <c r="B1" s="104"/>
      <c r="C1" s="99"/>
      <c r="D1" s="99"/>
    </row>
    <row r="3" spans="1:4" ht="72.75" customHeight="1"/>
    <row r="4" spans="1:4" ht="30.6">
      <c r="A4" s="98" t="s">
        <v>1</v>
      </c>
    </row>
    <row r="5" spans="1:4" ht="30.6">
      <c r="A5" s="98" t="s">
        <v>2</v>
      </c>
    </row>
    <row r="6" spans="1:4" ht="30.6">
      <c r="A6" s="98" t="s">
        <v>3</v>
      </c>
    </row>
    <row r="7" spans="1:4" ht="30.6">
      <c r="A7" s="98" t="s">
        <v>4</v>
      </c>
    </row>
    <row r="8" spans="1:4" ht="25.2">
      <c r="A8" s="97" t="s">
        <v>5</v>
      </c>
    </row>
    <row r="15" spans="1:4">
      <c r="A15" s="94" t="s">
        <v>6</v>
      </c>
      <c r="B15" s="95" t="s">
        <v>439</v>
      </c>
    </row>
    <row r="16" spans="1:4">
      <c r="A16" s="94" t="s">
        <v>7</v>
      </c>
      <c r="B16" s="96">
        <v>45204</v>
      </c>
    </row>
    <row r="17" spans="1:2">
      <c r="A17" s="94" t="s">
        <v>8</v>
      </c>
      <c r="B17" s="96">
        <v>45204</v>
      </c>
    </row>
    <row r="18" spans="1:2">
      <c r="A18" s="94" t="s">
        <v>9</v>
      </c>
      <c r="B18" s="95" t="s">
        <v>10</v>
      </c>
    </row>
    <row r="19" spans="1:2">
      <c r="A19" s="94" t="s">
        <v>11</v>
      </c>
      <c r="B19" s="93">
        <v>1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workbookViewId="0">
      <selection activeCell="A8" sqref="A8:K8"/>
    </sheetView>
  </sheetViews>
  <sheetFormatPr defaultRowHeight="13.2"/>
  <cols>
    <col min="1" max="1" width="19.5546875" style="92" customWidth="1"/>
    <col min="2" max="2" width="1.6640625" customWidth="1"/>
    <col min="3" max="3" width="2" customWidth="1"/>
    <col min="4" max="4" width="1.6640625" customWidth="1"/>
    <col min="5" max="5" width="1.88671875" customWidth="1"/>
    <col min="6" max="6" width="1.6640625" customWidth="1"/>
    <col min="8" max="8" width="26.88671875" customWidth="1"/>
    <col min="9" max="9" width="12.88671875" customWidth="1"/>
    <col min="10" max="10" width="16.5546875" customWidth="1"/>
    <col min="11" max="11" width="14.33203125" customWidth="1"/>
  </cols>
  <sheetData>
    <row r="1" spans="1:11" s="92" customFormat="1" ht="30">
      <c r="A1" s="107" t="s">
        <v>12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30">
      <c r="A2" s="107" t="s">
        <v>13</v>
      </c>
      <c r="B2" s="107"/>
      <c r="C2" s="107"/>
      <c r="D2" s="107"/>
      <c r="E2" s="107"/>
      <c r="F2" s="107"/>
      <c r="G2" s="107"/>
      <c r="H2" s="107"/>
      <c r="I2" s="107"/>
      <c r="J2" s="50"/>
      <c r="K2" s="50"/>
    </row>
    <row r="3" spans="1:11">
      <c r="A3" s="53"/>
      <c r="B3" s="51"/>
      <c r="C3" s="51"/>
      <c r="D3" s="51"/>
      <c r="E3" s="51"/>
      <c r="F3" s="51"/>
      <c r="G3" s="51"/>
      <c r="H3" s="51"/>
      <c r="I3" s="51"/>
      <c r="J3" s="50"/>
      <c r="K3" s="50"/>
    </row>
    <row r="4" spans="1:11">
      <c r="A4" s="53"/>
      <c r="B4" s="51"/>
      <c r="C4" s="51"/>
      <c r="D4" s="51"/>
      <c r="E4" s="51"/>
      <c r="F4" s="51"/>
      <c r="G4" s="51"/>
      <c r="H4" s="51"/>
      <c r="I4" s="51"/>
      <c r="J4" s="50"/>
      <c r="K4" s="50"/>
    </row>
    <row r="5" spans="1:11">
      <c r="A5" s="105" t="s">
        <v>14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</row>
    <row r="6" spans="1:11">
      <c r="A6" s="105" t="s">
        <v>15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</row>
    <row r="7" spans="1:11">
      <c r="A7" s="105" t="s">
        <v>16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</row>
    <row r="8" spans="1:11">
      <c r="A8" s="105" t="s">
        <v>17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</row>
    <row r="9" spans="1:11" ht="14.25" customHeight="1">
      <c r="A9" s="105" t="s">
        <v>18</v>
      </c>
      <c r="B9" s="105"/>
      <c r="C9" s="105"/>
      <c r="D9" s="105"/>
      <c r="E9" s="105"/>
      <c r="F9" s="105"/>
      <c r="G9" s="105"/>
      <c r="H9" s="105"/>
      <c r="I9" s="105"/>
      <c r="J9" s="105"/>
      <c r="K9" s="51"/>
    </row>
    <row r="10" spans="1:11" ht="33.75" customHeight="1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</row>
    <row r="11" spans="1: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spans="1:11">
      <c r="A12" s="52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spans="1:11" ht="17.399999999999999">
      <c r="A13" s="110" t="s">
        <v>19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</row>
    <row r="14" spans="1:11" ht="53.25" customHeight="1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</row>
    <row r="15" spans="1:1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</row>
    <row r="16" spans="1:11">
      <c r="A16" s="50"/>
      <c r="B16" s="54"/>
      <c r="C16" s="55"/>
      <c r="D16" s="55" t="s">
        <v>20</v>
      </c>
      <c r="E16" s="55"/>
      <c r="F16" s="55"/>
      <c r="G16" s="55"/>
      <c r="H16" s="55"/>
      <c r="I16" s="56" t="s">
        <v>21</v>
      </c>
      <c r="J16" s="50"/>
      <c r="K16" s="50"/>
    </row>
    <row r="17" spans="1:11">
      <c r="A17" s="50"/>
      <c r="B17" s="57"/>
      <c r="C17" s="58"/>
      <c r="D17" s="59" t="s">
        <v>22</v>
      </c>
      <c r="E17" s="58"/>
      <c r="F17" s="58"/>
      <c r="G17" s="58"/>
      <c r="H17" s="58"/>
      <c r="I17" s="58" t="s">
        <v>23</v>
      </c>
      <c r="J17" s="50"/>
      <c r="K17" s="50"/>
    </row>
    <row r="18" spans="1:11" ht="13.5" customHeight="1">
      <c r="A18" s="50"/>
      <c r="B18" s="57"/>
      <c r="C18" s="58"/>
      <c r="D18" s="58"/>
      <c r="E18" s="58"/>
      <c r="F18" s="54" t="s">
        <v>24</v>
      </c>
      <c r="G18" s="55"/>
      <c r="H18" s="55"/>
      <c r="I18" s="55" t="s">
        <v>25</v>
      </c>
      <c r="J18" s="50"/>
      <c r="K18" s="50"/>
    </row>
    <row r="19" spans="1:11" ht="1.5" customHeight="1">
      <c r="A19" s="50"/>
      <c r="B19" s="57"/>
      <c r="C19" s="58"/>
      <c r="D19" s="58"/>
      <c r="E19" s="58"/>
      <c r="F19" s="60"/>
      <c r="G19" s="61"/>
      <c r="H19" s="61"/>
      <c r="I19" s="61"/>
      <c r="J19" s="50"/>
      <c r="K19" s="50"/>
    </row>
    <row r="20" spans="1:11" ht="4.5" customHeight="1">
      <c r="A20" s="50"/>
      <c r="B20" s="57"/>
      <c r="C20" s="58"/>
      <c r="D20" s="58"/>
      <c r="E20" s="58"/>
      <c r="F20" s="58"/>
      <c r="G20" s="58"/>
      <c r="H20" s="58"/>
      <c r="I20" s="58"/>
      <c r="J20" s="50"/>
      <c r="K20" s="50"/>
    </row>
    <row r="21" spans="1:11" ht="1.5" customHeight="1">
      <c r="A21" s="50"/>
      <c r="B21" s="57"/>
      <c r="C21" s="58"/>
      <c r="D21" s="58"/>
      <c r="E21" s="58"/>
      <c r="F21" s="58"/>
      <c r="G21" s="58"/>
      <c r="H21" s="58"/>
      <c r="I21" s="58"/>
      <c r="J21" s="50"/>
      <c r="K21" s="50"/>
    </row>
    <row r="22" spans="1:11" ht="12" customHeight="1">
      <c r="A22" s="50"/>
      <c r="B22" s="57"/>
      <c r="C22" s="58"/>
      <c r="D22" s="58"/>
      <c r="E22" s="58"/>
      <c r="F22" s="62" t="s">
        <v>26</v>
      </c>
      <c r="G22" s="63"/>
      <c r="H22" s="63"/>
      <c r="I22" s="63" t="s">
        <v>27</v>
      </c>
      <c r="J22" s="50"/>
      <c r="K22" s="50"/>
    </row>
    <row r="23" spans="1:11" ht="4.5" customHeight="1">
      <c r="A23" s="50"/>
      <c r="B23" s="57"/>
      <c r="C23" s="58"/>
      <c r="D23" s="58"/>
      <c r="E23" s="58"/>
      <c r="F23" s="58"/>
      <c r="G23" s="58"/>
      <c r="H23" s="58"/>
      <c r="I23" s="58"/>
      <c r="J23" s="50"/>
      <c r="K23" s="50"/>
    </row>
    <row r="24" spans="1:11" ht="12" customHeight="1">
      <c r="A24" s="50"/>
      <c r="B24" s="57"/>
      <c r="C24" s="58"/>
      <c r="D24" s="58"/>
      <c r="E24" s="58"/>
      <c r="F24" s="62" t="s">
        <v>28</v>
      </c>
      <c r="G24" s="63"/>
      <c r="H24" s="63"/>
      <c r="I24" s="63" t="s">
        <v>29</v>
      </c>
      <c r="J24" s="50"/>
      <c r="K24" s="50"/>
    </row>
    <row r="25" spans="1:11" ht="3.75" customHeight="1">
      <c r="A25" s="50"/>
      <c r="B25" s="57"/>
      <c r="C25" s="58"/>
      <c r="D25" s="58"/>
      <c r="E25" s="58"/>
      <c r="F25" s="63"/>
      <c r="G25" s="63"/>
      <c r="H25" s="63"/>
      <c r="I25" s="63"/>
      <c r="J25" s="50"/>
      <c r="K25" s="50"/>
    </row>
    <row r="26" spans="1:11" ht="11.25" customHeight="1">
      <c r="A26" s="50"/>
      <c r="B26" s="57"/>
      <c r="C26" s="58"/>
      <c r="D26" s="58"/>
      <c r="E26" s="58"/>
      <c r="F26" s="62" t="s">
        <v>30</v>
      </c>
      <c r="G26" s="63"/>
      <c r="H26" s="63"/>
      <c r="I26" s="63" t="s">
        <v>31</v>
      </c>
      <c r="J26" s="50"/>
      <c r="K26" s="50"/>
    </row>
    <row r="27" spans="1:11" ht="8.25" customHeight="1">
      <c r="A27" s="50"/>
      <c r="B27" s="57"/>
      <c r="C27" s="58"/>
      <c r="D27" s="58"/>
      <c r="E27" s="58"/>
      <c r="F27" s="58"/>
      <c r="G27" s="58"/>
      <c r="H27" s="58"/>
      <c r="I27" s="58"/>
      <c r="J27" s="50"/>
      <c r="K27" s="50"/>
    </row>
    <row r="28" spans="1:11" ht="6" customHeight="1">
      <c r="A28" s="50"/>
      <c r="B28" s="57"/>
      <c r="C28" s="58"/>
      <c r="D28" s="58"/>
      <c r="E28" s="58"/>
      <c r="F28" s="58"/>
      <c r="G28" s="58"/>
      <c r="H28" s="58"/>
      <c r="I28" s="58"/>
      <c r="J28" s="50"/>
      <c r="K28" s="50"/>
    </row>
    <row r="29" spans="1:11">
      <c r="A29" s="50"/>
      <c r="B29" s="57"/>
      <c r="C29" s="64"/>
      <c r="D29" s="65" t="s">
        <v>32</v>
      </c>
      <c r="E29" s="66"/>
      <c r="F29" s="66"/>
      <c r="G29" s="66"/>
      <c r="H29" s="66"/>
      <c r="I29" s="67" t="s">
        <v>33</v>
      </c>
      <c r="J29" s="50"/>
      <c r="K29" s="50"/>
    </row>
    <row r="30" spans="1:11">
      <c r="A30" s="50"/>
      <c r="B30" s="57"/>
      <c r="C30" s="68"/>
      <c r="D30" s="69"/>
      <c r="E30" s="70"/>
      <c r="F30" s="70"/>
      <c r="G30" s="70"/>
      <c r="H30" s="70"/>
      <c r="I30" s="71"/>
      <c r="J30" s="50"/>
      <c r="K30" s="50"/>
    </row>
    <row r="31" spans="1:11">
      <c r="A31" s="50"/>
      <c r="B31" s="57"/>
      <c r="C31" s="68"/>
      <c r="D31" s="69"/>
      <c r="E31" s="70"/>
      <c r="F31" s="72" t="s">
        <v>34</v>
      </c>
      <c r="G31" s="73"/>
      <c r="H31" s="73"/>
      <c r="I31" s="74" t="s">
        <v>35</v>
      </c>
      <c r="J31" s="50"/>
      <c r="K31" s="50"/>
    </row>
    <row r="32" spans="1:11" ht="12.75" customHeight="1">
      <c r="A32" s="50"/>
      <c r="B32" s="57"/>
      <c r="C32" s="68"/>
      <c r="D32" s="69"/>
      <c r="E32" s="70"/>
      <c r="F32" s="75"/>
      <c r="G32" s="76" t="s">
        <v>36</v>
      </c>
      <c r="H32" s="77"/>
      <c r="I32" s="78" t="s">
        <v>37</v>
      </c>
      <c r="J32" s="50"/>
      <c r="K32" s="50"/>
    </row>
    <row r="33" spans="1:11" ht="6" customHeight="1">
      <c r="A33" s="50"/>
      <c r="B33" s="57"/>
      <c r="C33" s="68"/>
      <c r="D33" s="69"/>
      <c r="E33" s="70"/>
      <c r="F33" s="75"/>
      <c r="G33" s="78"/>
      <c r="H33" s="78"/>
      <c r="I33" s="79"/>
      <c r="J33" s="50"/>
      <c r="K33" s="50"/>
    </row>
    <row r="34" spans="1:11" ht="12.75" customHeight="1">
      <c r="A34" s="50"/>
      <c r="B34" s="57"/>
      <c r="C34" s="68"/>
      <c r="D34" s="69"/>
      <c r="E34" s="70"/>
      <c r="F34" s="75"/>
      <c r="G34" s="76" t="s">
        <v>38</v>
      </c>
      <c r="H34" s="77"/>
      <c r="I34" s="78" t="s">
        <v>39</v>
      </c>
      <c r="J34" s="50"/>
      <c r="K34" s="50"/>
    </row>
    <row r="35" spans="1:11" ht="4.5" customHeight="1">
      <c r="A35" s="50"/>
      <c r="B35" s="57"/>
      <c r="C35" s="68"/>
      <c r="D35" s="69"/>
      <c r="E35" s="70"/>
      <c r="F35" s="75"/>
      <c r="G35" s="78"/>
      <c r="H35" s="78"/>
      <c r="I35" s="79"/>
      <c r="J35" s="50"/>
      <c r="K35" s="50"/>
    </row>
    <row r="36" spans="1:11">
      <c r="A36" s="50"/>
      <c r="B36" s="57"/>
      <c r="C36" s="68"/>
      <c r="D36" s="69"/>
      <c r="E36" s="70"/>
      <c r="F36" s="75"/>
      <c r="G36" s="76" t="s">
        <v>40</v>
      </c>
      <c r="H36" s="77"/>
      <c r="I36" s="78" t="s">
        <v>41</v>
      </c>
      <c r="J36" s="50"/>
      <c r="K36" s="50"/>
    </row>
    <row r="37" spans="1:11" ht="3.75" customHeight="1">
      <c r="A37" s="50"/>
      <c r="B37" s="57"/>
      <c r="C37" s="68"/>
      <c r="D37" s="69"/>
      <c r="E37" s="70"/>
      <c r="F37" s="75"/>
      <c r="G37" s="78"/>
      <c r="H37" s="78"/>
      <c r="I37" s="79"/>
      <c r="J37" s="50"/>
      <c r="K37" s="50"/>
    </row>
    <row r="38" spans="1:11">
      <c r="A38" s="50"/>
      <c r="B38" s="57"/>
      <c r="C38" s="68"/>
      <c r="D38" s="69"/>
      <c r="E38" s="70"/>
      <c r="F38" s="75"/>
      <c r="G38" s="80" t="s">
        <v>42</v>
      </c>
      <c r="H38" s="77"/>
      <c r="I38" s="78" t="s">
        <v>43</v>
      </c>
      <c r="J38" s="50"/>
      <c r="K38" s="50"/>
    </row>
    <row r="39" spans="1:11" ht="3" customHeight="1">
      <c r="A39" s="50"/>
      <c r="B39" s="57"/>
      <c r="C39" s="68"/>
      <c r="D39" s="69"/>
      <c r="E39" s="70"/>
      <c r="F39" s="75"/>
      <c r="G39" s="81"/>
      <c r="H39" s="78"/>
      <c r="I39" s="78"/>
      <c r="J39" s="50"/>
      <c r="K39" s="50"/>
    </row>
    <row r="40" spans="1:11">
      <c r="A40" s="50"/>
      <c r="B40" s="57"/>
      <c r="C40" s="68"/>
      <c r="D40" s="69"/>
      <c r="E40" s="70"/>
      <c r="F40" s="75"/>
      <c r="G40" s="80" t="s">
        <v>44</v>
      </c>
      <c r="H40" s="77"/>
      <c r="I40" s="78" t="s">
        <v>45</v>
      </c>
      <c r="J40" s="50"/>
      <c r="K40" s="50"/>
    </row>
    <row r="41" spans="1:11" ht="3" customHeight="1">
      <c r="A41" s="50"/>
      <c r="B41" s="57"/>
      <c r="C41" s="68"/>
      <c r="D41" s="69"/>
      <c r="E41" s="70"/>
      <c r="F41" s="75"/>
      <c r="G41" s="81"/>
      <c r="H41" s="78"/>
      <c r="I41" s="78"/>
      <c r="J41" s="50"/>
      <c r="K41" s="50"/>
    </row>
    <row r="42" spans="1:11">
      <c r="A42" s="50"/>
      <c r="B42" s="57"/>
      <c r="C42" s="68"/>
      <c r="D42" s="69"/>
      <c r="E42" s="70"/>
      <c r="F42" s="75"/>
      <c r="G42" s="80" t="s">
        <v>46</v>
      </c>
      <c r="H42" s="77"/>
      <c r="I42" s="78" t="s">
        <v>47</v>
      </c>
      <c r="J42" s="50"/>
      <c r="K42" s="50"/>
    </row>
    <row r="43" spans="1:11" ht="8.25" customHeight="1">
      <c r="A43" s="50"/>
      <c r="B43" s="57"/>
      <c r="C43" s="68"/>
      <c r="D43" s="69"/>
      <c r="E43" s="70"/>
      <c r="F43" s="82"/>
      <c r="G43" s="83"/>
      <c r="H43" s="84"/>
      <c r="I43" s="84"/>
      <c r="J43" s="50"/>
      <c r="K43" s="50"/>
    </row>
    <row r="44" spans="1:11" ht="12" customHeight="1">
      <c r="A44" s="50"/>
      <c r="B44" s="57"/>
      <c r="C44" s="68"/>
      <c r="D44" s="69"/>
      <c r="E44" s="70"/>
      <c r="F44" s="70"/>
      <c r="G44" s="85"/>
      <c r="H44" s="70"/>
      <c r="I44" s="70"/>
      <c r="J44" s="50"/>
      <c r="K44" s="50"/>
    </row>
    <row r="45" spans="1:11" ht="3" hidden="1" customHeight="1">
      <c r="A45" s="50"/>
      <c r="B45" s="57"/>
      <c r="C45" s="68"/>
      <c r="D45" s="69"/>
      <c r="E45" s="70"/>
      <c r="F45" s="70"/>
      <c r="G45" s="85"/>
      <c r="H45" s="70"/>
      <c r="I45" s="70"/>
      <c r="J45" s="50"/>
      <c r="K45" s="50"/>
    </row>
    <row r="46" spans="1:11" ht="6.75" customHeight="1">
      <c r="A46" s="50"/>
      <c r="B46" s="57"/>
      <c r="C46" s="68"/>
      <c r="D46" s="69"/>
      <c r="E46" s="70"/>
      <c r="F46" s="70"/>
      <c r="G46" s="70"/>
      <c r="H46" s="70"/>
      <c r="I46" s="71"/>
      <c r="J46" s="50"/>
      <c r="K46" s="50"/>
    </row>
    <row r="47" spans="1:11" ht="15.75" customHeight="1">
      <c r="A47" s="50"/>
      <c r="B47" s="57"/>
      <c r="C47" s="68"/>
      <c r="D47" s="69"/>
      <c r="E47" s="70"/>
      <c r="F47" s="72" t="s">
        <v>34</v>
      </c>
      <c r="G47" s="73"/>
      <c r="H47" s="73"/>
      <c r="I47" s="74" t="s">
        <v>35</v>
      </c>
      <c r="J47" s="50"/>
      <c r="K47" s="50"/>
    </row>
    <row r="48" spans="1:11" ht="2.25" customHeight="1">
      <c r="A48" s="50"/>
      <c r="B48" s="57"/>
      <c r="C48" s="68"/>
      <c r="D48" s="69"/>
      <c r="E48" s="70"/>
      <c r="F48" s="75"/>
      <c r="G48" s="78"/>
      <c r="H48" s="78"/>
      <c r="I48" s="79"/>
      <c r="J48" s="50"/>
      <c r="K48" s="50"/>
    </row>
    <row r="49" spans="1:11" ht="2.25" customHeight="1">
      <c r="A49" s="50"/>
      <c r="B49" s="57"/>
      <c r="C49" s="68"/>
      <c r="D49" s="69"/>
      <c r="E49" s="70"/>
      <c r="F49" s="75"/>
      <c r="G49" s="78"/>
      <c r="H49" s="78"/>
      <c r="I49" s="79"/>
      <c r="J49" s="50"/>
      <c r="K49" s="50"/>
    </row>
    <row r="50" spans="1:11" ht="12" customHeight="1">
      <c r="A50" s="50"/>
      <c r="B50" s="57"/>
      <c r="C50" s="68"/>
      <c r="D50" s="69"/>
      <c r="E50" s="70"/>
      <c r="F50" s="75"/>
      <c r="G50" s="76" t="s">
        <v>36</v>
      </c>
      <c r="H50" s="77"/>
      <c r="I50" s="78" t="s">
        <v>37</v>
      </c>
      <c r="J50" s="50"/>
      <c r="K50" s="50"/>
    </row>
    <row r="51" spans="1:11" ht="3.75" customHeight="1">
      <c r="A51" s="50"/>
      <c r="B51" s="57"/>
      <c r="C51" s="68"/>
      <c r="D51" s="69"/>
      <c r="E51" s="70"/>
      <c r="F51" s="75"/>
      <c r="G51" s="78"/>
      <c r="H51" s="78"/>
      <c r="I51" s="78"/>
      <c r="J51" s="50"/>
      <c r="K51" s="50"/>
    </row>
    <row r="52" spans="1:11">
      <c r="A52" s="50"/>
      <c r="B52" s="57"/>
      <c r="C52" s="68"/>
      <c r="D52" s="69"/>
      <c r="E52" s="70"/>
      <c r="F52" s="75"/>
      <c r="G52" s="76" t="s">
        <v>38</v>
      </c>
      <c r="H52" s="77"/>
      <c r="I52" s="78" t="s">
        <v>39</v>
      </c>
      <c r="J52" s="50"/>
      <c r="K52" s="50"/>
    </row>
    <row r="53" spans="1:11" ht="3" customHeight="1">
      <c r="A53" s="50"/>
      <c r="B53" s="57"/>
      <c r="C53" s="68"/>
      <c r="D53" s="69"/>
      <c r="E53" s="70"/>
      <c r="F53" s="75"/>
      <c r="G53" s="78"/>
      <c r="H53" s="78"/>
      <c r="I53" s="79"/>
      <c r="J53" s="50"/>
      <c r="K53" s="50"/>
    </row>
    <row r="54" spans="1:11">
      <c r="A54" s="50"/>
      <c r="B54" s="57"/>
      <c r="C54" s="68"/>
      <c r="D54" s="69"/>
      <c r="E54" s="70"/>
      <c r="F54" s="75"/>
      <c r="G54" s="76" t="s">
        <v>40</v>
      </c>
      <c r="H54" s="77"/>
      <c r="I54" s="78" t="s">
        <v>41</v>
      </c>
      <c r="J54" s="50"/>
      <c r="K54" s="50"/>
    </row>
    <row r="55" spans="1:11" ht="4.5" customHeight="1">
      <c r="A55" s="50"/>
      <c r="B55" s="57"/>
      <c r="C55" s="68"/>
      <c r="D55" s="69"/>
      <c r="E55" s="70"/>
      <c r="F55" s="75"/>
      <c r="G55" s="78"/>
      <c r="H55" s="78"/>
      <c r="I55" s="79"/>
      <c r="J55" s="50"/>
      <c r="K55" s="50"/>
    </row>
    <row r="56" spans="1:11" ht="14.25" customHeight="1">
      <c r="A56" s="50"/>
      <c r="B56" s="57"/>
      <c r="C56" s="68"/>
      <c r="D56" s="69"/>
      <c r="E56" s="70"/>
      <c r="F56" s="75"/>
      <c r="G56" s="80" t="s">
        <v>42</v>
      </c>
      <c r="H56" s="77"/>
      <c r="I56" s="78" t="s">
        <v>43</v>
      </c>
      <c r="J56" s="50"/>
      <c r="K56" s="50"/>
    </row>
    <row r="57" spans="1:11" ht="6" customHeight="1">
      <c r="A57" s="50"/>
      <c r="B57" s="57"/>
      <c r="C57" s="68"/>
      <c r="D57" s="69"/>
      <c r="E57" s="70"/>
      <c r="F57" s="75"/>
      <c r="G57" s="81"/>
      <c r="H57" s="78"/>
      <c r="I57" s="78"/>
      <c r="J57" s="50"/>
      <c r="K57" s="50"/>
    </row>
    <row r="58" spans="1:11">
      <c r="A58" s="50"/>
      <c r="B58" s="57"/>
      <c r="C58" s="68"/>
      <c r="D58" s="69"/>
      <c r="E58" s="70"/>
      <c r="F58" s="75"/>
      <c r="G58" s="80" t="s">
        <v>44</v>
      </c>
      <c r="H58" s="77"/>
      <c r="I58" s="78" t="s">
        <v>45</v>
      </c>
      <c r="J58" s="50"/>
      <c r="K58" s="50"/>
    </row>
    <row r="59" spans="1:11" ht="3" customHeight="1">
      <c r="A59" s="50"/>
      <c r="B59" s="57"/>
      <c r="C59" s="68"/>
      <c r="D59" s="70"/>
      <c r="E59" s="70"/>
      <c r="F59" s="75"/>
      <c r="G59" s="81"/>
      <c r="H59" s="78"/>
      <c r="I59" s="78"/>
      <c r="J59" s="50"/>
      <c r="K59" s="50"/>
    </row>
    <row r="60" spans="1:11" ht="13.5" customHeight="1">
      <c r="A60" s="50"/>
      <c r="B60" s="57"/>
      <c r="C60" s="68"/>
      <c r="D60" s="70"/>
      <c r="E60" s="70"/>
      <c r="F60" s="75"/>
      <c r="G60" s="80" t="s">
        <v>46</v>
      </c>
      <c r="H60" s="77"/>
      <c r="I60" s="78" t="s">
        <v>47</v>
      </c>
      <c r="J60" s="50"/>
      <c r="K60" s="50"/>
    </row>
    <row r="61" spans="1:11" ht="6.75" customHeight="1">
      <c r="A61" s="50"/>
      <c r="B61" s="57"/>
      <c r="C61" s="68"/>
      <c r="D61" s="70"/>
      <c r="E61" s="70"/>
      <c r="F61" s="82"/>
      <c r="G61" s="83"/>
      <c r="H61" s="84"/>
      <c r="I61" s="84"/>
      <c r="J61" s="50"/>
      <c r="K61" s="50"/>
    </row>
    <row r="62" spans="1:11">
      <c r="A62" s="50"/>
      <c r="B62" s="57"/>
      <c r="C62" s="68"/>
      <c r="D62" s="70"/>
      <c r="E62" s="70"/>
      <c r="F62" s="70"/>
      <c r="G62" s="85"/>
      <c r="H62" s="70"/>
      <c r="I62" s="70"/>
      <c r="J62" s="50"/>
      <c r="K62" s="50"/>
    </row>
    <row r="63" spans="1:11" ht="3.75" customHeight="1">
      <c r="A63" s="50"/>
      <c r="B63" s="57"/>
      <c r="C63" s="68"/>
      <c r="D63" s="70"/>
      <c r="E63" s="70"/>
      <c r="F63" s="70"/>
      <c r="G63" s="70"/>
      <c r="H63" s="70"/>
      <c r="I63" s="70"/>
      <c r="J63" s="50"/>
      <c r="K63" s="50"/>
    </row>
    <row r="64" spans="1:11" ht="4.5" customHeight="1">
      <c r="A64" s="50"/>
      <c r="B64" s="57"/>
      <c r="C64" s="68"/>
      <c r="D64" s="70"/>
      <c r="E64" s="70"/>
      <c r="F64" s="70"/>
      <c r="G64" s="70"/>
      <c r="H64" s="70"/>
      <c r="I64" s="70"/>
      <c r="J64" s="50"/>
      <c r="K64" s="50"/>
    </row>
    <row r="65" spans="1:11" ht="5.25" customHeight="1">
      <c r="A65" s="50"/>
      <c r="B65" s="57"/>
      <c r="C65" s="86"/>
      <c r="D65" s="87"/>
      <c r="E65" s="87"/>
      <c r="F65" s="87"/>
      <c r="G65" s="87"/>
      <c r="H65" s="87"/>
      <c r="I65" s="87"/>
      <c r="J65" s="50"/>
      <c r="K65" s="50"/>
    </row>
    <row r="66" spans="1:11" ht="18.75" customHeight="1">
      <c r="A66" s="50"/>
      <c r="B66" s="60"/>
      <c r="C66" s="61"/>
      <c r="D66" s="61"/>
      <c r="E66" s="61"/>
      <c r="F66" s="61"/>
      <c r="G66" s="61"/>
      <c r="H66" s="61"/>
      <c r="I66" s="61"/>
      <c r="J66" s="50"/>
      <c r="K66" s="50"/>
    </row>
    <row r="67" spans="1:1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</row>
    <row r="68" spans="1:1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</row>
    <row r="69" spans="1:1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</row>
    <row r="70" spans="1:1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</row>
    <row r="71" spans="1:1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</row>
    <row r="72" spans="1:11" ht="17.399999999999999">
      <c r="A72" s="111" t="s">
        <v>48</v>
      </c>
      <c r="B72" s="111"/>
      <c r="C72" s="111"/>
      <c r="D72" s="111"/>
      <c r="E72" s="111"/>
      <c r="F72" s="111"/>
      <c r="G72" s="111"/>
      <c r="H72" s="111"/>
      <c r="I72" s="111"/>
      <c r="J72" s="111"/>
      <c r="K72" s="111"/>
    </row>
    <row r="73" spans="1:11">
      <c r="A73" s="88"/>
      <c r="B73" s="89" t="s">
        <v>49</v>
      </c>
      <c r="C73" s="90"/>
      <c r="D73" s="90"/>
      <c r="E73" s="90"/>
      <c r="F73" s="90"/>
      <c r="G73" s="90"/>
      <c r="H73" s="91" t="s">
        <v>50</v>
      </c>
      <c r="I73" s="90"/>
      <c r="J73" s="90"/>
      <c r="K73" s="90"/>
    </row>
    <row r="74" spans="1:11">
      <c r="A74" s="88"/>
      <c r="B74" s="89" t="s">
        <v>51</v>
      </c>
      <c r="C74" s="90"/>
      <c r="D74" s="90"/>
      <c r="E74" s="90"/>
      <c r="F74" s="90"/>
      <c r="G74" s="90"/>
      <c r="H74" s="91" t="s">
        <v>52</v>
      </c>
      <c r="I74" s="90"/>
      <c r="J74" s="90"/>
      <c r="K74" s="90"/>
    </row>
    <row r="75" spans="1:11">
      <c r="A75" s="88"/>
      <c r="B75" s="89" t="s">
        <v>53</v>
      </c>
      <c r="C75" s="90"/>
      <c r="D75" s="90"/>
      <c r="E75" s="90"/>
      <c r="F75" s="90"/>
      <c r="G75" s="90"/>
      <c r="H75" s="91" t="s">
        <v>54</v>
      </c>
      <c r="I75" s="90"/>
      <c r="J75" s="90"/>
      <c r="K75" s="90"/>
    </row>
    <row r="76" spans="1:11" ht="25.5" customHeight="1">
      <c r="A76" s="88"/>
      <c r="B76" s="89" t="s">
        <v>55</v>
      </c>
      <c r="C76" s="90"/>
      <c r="D76" s="90"/>
      <c r="E76" s="90"/>
      <c r="F76" s="90"/>
      <c r="G76" s="90"/>
      <c r="H76" s="108" t="s">
        <v>56</v>
      </c>
      <c r="I76" s="108"/>
      <c r="J76" s="108"/>
      <c r="K76" s="108"/>
    </row>
    <row r="77" spans="1:11">
      <c r="A77" s="88"/>
      <c r="B77" s="89" t="s">
        <v>57</v>
      </c>
      <c r="C77" s="90"/>
      <c r="D77" s="90"/>
      <c r="E77" s="90"/>
      <c r="F77" s="90"/>
      <c r="G77" s="90"/>
      <c r="H77" s="91" t="s">
        <v>58</v>
      </c>
      <c r="I77" s="90"/>
      <c r="J77" s="90"/>
      <c r="K77" s="90"/>
    </row>
    <row r="78" spans="1:11">
      <c r="A78" s="88"/>
      <c r="B78" s="89" t="s">
        <v>59</v>
      </c>
      <c r="C78" s="90"/>
      <c r="D78" s="90"/>
      <c r="E78" s="90"/>
      <c r="F78" s="90"/>
      <c r="G78" s="90"/>
      <c r="H78" s="91" t="s">
        <v>60</v>
      </c>
      <c r="I78" s="90"/>
      <c r="J78" s="90"/>
      <c r="K78" s="90"/>
    </row>
    <row r="79" spans="1:11">
      <c r="A79" s="88"/>
      <c r="B79" s="89" t="s">
        <v>61</v>
      </c>
      <c r="C79" s="90"/>
      <c r="D79" s="90"/>
      <c r="E79" s="90"/>
      <c r="F79" s="90"/>
      <c r="G79" s="90"/>
      <c r="H79" s="91" t="s">
        <v>62</v>
      </c>
      <c r="I79" s="90"/>
      <c r="J79" s="90"/>
      <c r="K79" s="90"/>
    </row>
    <row r="80" spans="1:11">
      <c r="A80" s="88"/>
      <c r="B80" s="89" t="s">
        <v>63</v>
      </c>
      <c r="C80" s="90"/>
      <c r="D80" s="90"/>
      <c r="E80" s="90"/>
      <c r="F80" s="90"/>
      <c r="G80" s="90"/>
      <c r="H80" s="91" t="s">
        <v>64</v>
      </c>
      <c r="I80" s="90"/>
      <c r="J80" s="90"/>
      <c r="K80" s="90"/>
    </row>
    <row r="81" spans="1:11">
      <c r="A81" s="88"/>
      <c r="B81" s="89" t="s">
        <v>65</v>
      </c>
      <c r="C81" s="90"/>
      <c r="D81" s="90"/>
      <c r="E81" s="90"/>
      <c r="F81" s="90"/>
      <c r="G81" s="90"/>
      <c r="H81" s="91" t="s">
        <v>66</v>
      </c>
      <c r="I81" s="90"/>
      <c r="J81" s="90"/>
      <c r="K81" s="90"/>
    </row>
    <row r="82" spans="1:11">
      <c r="A82" s="52"/>
      <c r="B82" s="50"/>
      <c r="C82" s="50"/>
      <c r="D82" s="50"/>
      <c r="E82" s="50"/>
      <c r="F82" s="50"/>
      <c r="G82" s="50"/>
      <c r="H82" s="50"/>
      <c r="I82" s="50"/>
      <c r="J82" s="50"/>
      <c r="K82" s="50"/>
    </row>
    <row r="83" spans="1:11" ht="17.399999999999999">
      <c r="A83" s="111" t="s">
        <v>67</v>
      </c>
      <c r="B83" s="111"/>
      <c r="C83" s="111"/>
      <c r="D83" s="111"/>
      <c r="E83" s="111"/>
      <c r="F83" s="111"/>
      <c r="G83" s="111"/>
      <c r="H83" s="111"/>
      <c r="I83" s="111"/>
      <c r="J83" s="111"/>
      <c r="K83" s="111"/>
    </row>
    <row r="84" spans="1:11">
      <c r="A84" s="88"/>
      <c r="B84" s="89" t="s">
        <v>68</v>
      </c>
      <c r="C84" s="90"/>
      <c r="D84" s="90"/>
      <c r="E84" s="90"/>
      <c r="F84" s="90"/>
      <c r="G84" s="90"/>
      <c r="H84" s="91" t="s">
        <v>69</v>
      </c>
      <c r="I84" s="90"/>
      <c r="J84" s="90"/>
      <c r="K84" s="90"/>
    </row>
    <row r="85" spans="1:11">
      <c r="A85" s="88"/>
      <c r="B85" s="89" t="s">
        <v>70</v>
      </c>
      <c r="C85" s="90"/>
      <c r="D85" s="90"/>
      <c r="E85" s="90"/>
      <c r="F85" s="90"/>
      <c r="G85" s="90"/>
      <c r="H85" s="91" t="s">
        <v>71</v>
      </c>
      <c r="I85" s="90"/>
      <c r="J85" s="90"/>
      <c r="K85" s="90"/>
    </row>
    <row r="86" spans="1:11">
      <c r="A86" s="88"/>
      <c r="B86" s="89" t="s">
        <v>72</v>
      </c>
      <c r="C86" s="90"/>
      <c r="D86" s="90"/>
      <c r="E86" s="90"/>
      <c r="F86" s="90"/>
      <c r="G86" s="90"/>
      <c r="H86" s="91" t="s">
        <v>73</v>
      </c>
      <c r="I86" s="90"/>
      <c r="J86" s="90"/>
      <c r="K86" s="90"/>
    </row>
    <row r="87" spans="1:11" ht="87.75" customHeight="1">
      <c r="A87" s="88"/>
      <c r="B87" s="89" t="s">
        <v>74</v>
      </c>
      <c r="C87" s="90"/>
      <c r="D87" s="90"/>
      <c r="E87" s="90"/>
      <c r="F87" s="90"/>
      <c r="G87" s="90"/>
      <c r="H87" s="108" t="s">
        <v>75</v>
      </c>
      <c r="I87" s="108"/>
      <c r="J87" s="108"/>
      <c r="K87" s="108"/>
    </row>
    <row r="88" spans="1:11">
      <c r="A88" s="88"/>
      <c r="B88" s="89" t="s">
        <v>76</v>
      </c>
      <c r="C88" s="90"/>
      <c r="D88" s="90"/>
      <c r="E88" s="90"/>
      <c r="F88" s="90"/>
      <c r="G88" s="90"/>
      <c r="H88" s="91" t="s">
        <v>77</v>
      </c>
      <c r="I88" s="90"/>
      <c r="J88" s="90"/>
      <c r="K88" s="90"/>
    </row>
    <row r="89" spans="1:11">
      <c r="A89" s="88"/>
      <c r="B89" s="89" t="s">
        <v>78</v>
      </c>
      <c r="C89" s="90"/>
      <c r="D89" s="90"/>
      <c r="E89" s="90"/>
      <c r="F89" s="90"/>
      <c r="G89" s="90"/>
      <c r="H89" s="91" t="s">
        <v>79</v>
      </c>
      <c r="I89" s="90"/>
      <c r="J89" s="90"/>
      <c r="K89" s="90"/>
    </row>
    <row r="90" spans="1:11" ht="44.25" customHeight="1">
      <c r="A90" s="88"/>
      <c r="B90" s="89" t="s">
        <v>80</v>
      </c>
      <c r="C90" s="90"/>
      <c r="D90" s="90"/>
      <c r="E90" s="90"/>
      <c r="F90" s="90"/>
      <c r="G90" s="90"/>
      <c r="H90" s="108" t="s">
        <v>81</v>
      </c>
      <c r="I90" s="108"/>
      <c r="J90" s="108"/>
      <c r="K90" s="108"/>
    </row>
    <row r="91" spans="1:11">
      <c r="A91" s="88"/>
      <c r="B91" s="89"/>
      <c r="C91" s="90"/>
      <c r="D91" s="90"/>
      <c r="E91" s="90"/>
      <c r="F91" s="90"/>
      <c r="G91" s="90"/>
      <c r="H91" s="91"/>
      <c r="I91" s="90"/>
      <c r="J91" s="90"/>
      <c r="K91" s="90"/>
    </row>
    <row r="92" spans="1:11">
      <c r="A92" s="88"/>
      <c r="B92" s="89"/>
      <c r="C92" s="90"/>
      <c r="D92" s="90"/>
      <c r="E92" s="90"/>
      <c r="F92" s="90"/>
      <c r="G92" s="90"/>
      <c r="H92" s="91"/>
      <c r="I92" s="90"/>
      <c r="J92" s="90"/>
      <c r="K92" s="90"/>
    </row>
  </sheetData>
  <mergeCells count="15">
    <mergeCell ref="H87:K87"/>
    <mergeCell ref="H90:K90"/>
    <mergeCell ref="A10:K10"/>
    <mergeCell ref="A13:K13"/>
    <mergeCell ref="A14:K14"/>
    <mergeCell ref="A72:K72"/>
    <mergeCell ref="H76:K76"/>
    <mergeCell ref="A83:K83"/>
    <mergeCell ref="A8:K8"/>
    <mergeCell ref="A9:J9"/>
    <mergeCell ref="A1:K1"/>
    <mergeCell ref="A2:I2"/>
    <mergeCell ref="A5:K5"/>
    <mergeCell ref="A6:K6"/>
    <mergeCell ref="A7:K7"/>
  </mergeCells>
  <pageMargins left="0.25" right="0.25" top="0.25" bottom="0.2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43"/>
  <sheetViews>
    <sheetView tabSelected="1" topLeftCell="A137" zoomScaleNormal="80" zoomScaleSheetLayoutView="75" workbookViewId="0">
      <selection activeCell="N154" sqref="N154"/>
    </sheetView>
  </sheetViews>
  <sheetFormatPr defaultColWidth="9.109375" defaultRowHeight="13.2"/>
  <cols>
    <col min="1" max="1" width="45.88671875" style="31" bestFit="1" customWidth="1"/>
    <col min="2" max="2" width="16" style="30" bestFit="1" customWidth="1"/>
    <col min="3" max="3" width="8.44140625" style="47" customWidth="1"/>
    <col min="4" max="4" width="5.44140625" style="23" bestFit="1" customWidth="1"/>
    <col min="5" max="5" width="6.5546875" style="23" bestFit="1" customWidth="1"/>
    <col min="6" max="6" width="7.5546875" style="36" bestFit="1" customWidth="1"/>
    <col min="7" max="7" width="13.88671875" style="23" bestFit="1" customWidth="1"/>
    <col min="8" max="8" width="9.5546875" style="33" customWidth="1"/>
    <col min="9" max="9" width="6.33203125" style="34" bestFit="1" customWidth="1"/>
    <col min="10" max="10" width="57.44140625" style="30" customWidth="1"/>
    <col min="11" max="16384" width="9.109375" style="23"/>
  </cols>
  <sheetData>
    <row r="1" spans="1:17" s="1" customFormat="1" ht="20.25" customHeight="1">
      <c r="A1" s="7" t="s">
        <v>82</v>
      </c>
      <c r="B1" s="112" t="s">
        <v>83</v>
      </c>
      <c r="C1" s="112"/>
      <c r="D1" s="112"/>
      <c r="E1" s="112" t="s">
        <v>84</v>
      </c>
      <c r="F1" s="112"/>
      <c r="G1" s="112"/>
      <c r="H1" s="112"/>
      <c r="I1" s="112"/>
      <c r="J1" s="8" t="s">
        <v>82</v>
      </c>
    </row>
    <row r="2" spans="1:17" s="16" customFormat="1" ht="13.8" thickBot="1">
      <c r="A2" s="9" t="s">
        <v>85</v>
      </c>
      <c r="B2" s="45" t="s">
        <v>86</v>
      </c>
      <c r="C2" s="45" t="s">
        <v>87</v>
      </c>
      <c r="D2" s="10" t="s">
        <v>74</v>
      </c>
      <c r="E2" s="11" t="s">
        <v>88</v>
      </c>
      <c r="F2" s="12" t="s">
        <v>49</v>
      </c>
      <c r="G2" s="10" t="s">
        <v>89</v>
      </c>
      <c r="H2" s="10" t="s">
        <v>90</v>
      </c>
      <c r="I2" s="13" t="s">
        <v>57</v>
      </c>
      <c r="J2" s="14" t="s">
        <v>91</v>
      </c>
      <c r="K2" s="10" t="s">
        <v>82</v>
      </c>
      <c r="L2" s="15"/>
      <c r="M2" s="15"/>
      <c r="N2" s="15"/>
      <c r="O2" s="15"/>
      <c r="P2" s="15"/>
      <c r="Q2" s="15"/>
    </row>
    <row r="3" spans="1:17" ht="13.8" thickTop="1">
      <c r="A3" s="17" t="s">
        <v>92</v>
      </c>
      <c r="B3" s="22"/>
      <c r="C3" s="48"/>
      <c r="D3" s="18"/>
      <c r="E3" s="18"/>
      <c r="F3" s="19"/>
      <c r="G3" s="18"/>
      <c r="H3" s="20"/>
      <c r="I3" s="21"/>
      <c r="J3" s="22"/>
    </row>
    <row r="4" spans="1:17">
      <c r="A4" s="24" t="s">
        <v>93</v>
      </c>
      <c r="B4" s="46" t="s">
        <v>94</v>
      </c>
      <c r="C4" s="49"/>
      <c r="D4" s="25"/>
      <c r="E4" s="25"/>
      <c r="F4" s="26" t="s">
        <v>21</v>
      </c>
      <c r="G4" s="27" t="s">
        <v>95</v>
      </c>
      <c r="H4" s="28">
        <v>1</v>
      </c>
      <c r="I4" s="29">
        <v>25</v>
      </c>
      <c r="J4" s="30" t="s">
        <v>82</v>
      </c>
    </row>
    <row r="5" spans="1:17">
      <c r="A5" s="24" t="s">
        <v>96</v>
      </c>
      <c r="B5" s="46" t="s">
        <v>97</v>
      </c>
      <c r="C5" s="49"/>
      <c r="D5" s="25"/>
      <c r="E5" s="25"/>
      <c r="F5" s="26" t="s">
        <v>21</v>
      </c>
      <c r="G5" s="25" t="s">
        <v>95</v>
      </c>
      <c r="H5" s="28">
        <f t="shared" ref="H5:H28" si="0">H4+I4</f>
        <v>26</v>
      </c>
      <c r="I5" s="29">
        <v>22</v>
      </c>
      <c r="J5" s="30" t="s">
        <v>82</v>
      </c>
    </row>
    <row r="6" spans="1:17">
      <c r="A6" s="24" t="s">
        <v>98</v>
      </c>
      <c r="B6" s="46"/>
      <c r="C6" s="49"/>
      <c r="D6" s="25"/>
      <c r="E6" s="25"/>
      <c r="F6" s="26" t="s">
        <v>21</v>
      </c>
      <c r="G6" s="25" t="s">
        <v>95</v>
      </c>
      <c r="H6" s="28">
        <f t="shared" si="0"/>
        <v>48</v>
      </c>
      <c r="I6" s="29">
        <v>22</v>
      </c>
    </row>
    <row r="7" spans="1:17">
      <c r="A7" s="24" t="s">
        <v>99</v>
      </c>
      <c r="B7" s="46"/>
      <c r="C7" s="49"/>
      <c r="D7" s="25"/>
      <c r="E7" s="25"/>
      <c r="F7" s="26" t="s">
        <v>21</v>
      </c>
      <c r="G7" s="25" t="s">
        <v>95</v>
      </c>
      <c r="H7" s="28">
        <f t="shared" si="0"/>
        <v>70</v>
      </c>
      <c r="I7" s="29">
        <v>22</v>
      </c>
    </row>
    <row r="8" spans="1:17">
      <c r="A8" s="24" t="s">
        <v>100</v>
      </c>
      <c r="B8" s="46"/>
      <c r="C8" s="49" t="s">
        <v>21</v>
      </c>
      <c r="D8" s="25"/>
      <c r="E8" s="25"/>
      <c r="F8" s="26" t="s">
        <v>21</v>
      </c>
      <c r="G8" s="25" t="s">
        <v>95</v>
      </c>
      <c r="H8" s="28">
        <f t="shared" si="0"/>
        <v>92</v>
      </c>
      <c r="I8" s="29">
        <v>4</v>
      </c>
    </row>
    <row r="9" spans="1:17">
      <c r="A9" s="24" t="s">
        <v>101</v>
      </c>
      <c r="B9" s="46"/>
      <c r="C9" s="49" t="s">
        <v>102</v>
      </c>
      <c r="D9" s="25"/>
      <c r="E9" s="25"/>
      <c r="F9" s="26" t="s">
        <v>21</v>
      </c>
      <c r="G9" s="25" t="s">
        <v>95</v>
      </c>
      <c r="H9" s="28">
        <f t="shared" si="0"/>
        <v>96</v>
      </c>
      <c r="I9" s="29">
        <v>2</v>
      </c>
    </row>
    <row r="10" spans="1:17">
      <c r="A10" s="24" t="s">
        <v>103</v>
      </c>
      <c r="B10" s="46"/>
      <c r="C10" s="49" t="s">
        <v>104</v>
      </c>
      <c r="D10" s="25"/>
      <c r="E10" s="25"/>
      <c r="F10" s="26" t="s">
        <v>21</v>
      </c>
      <c r="G10" s="25" t="s">
        <v>95</v>
      </c>
      <c r="H10" s="28">
        <f t="shared" si="0"/>
        <v>98</v>
      </c>
      <c r="I10" s="29">
        <v>3</v>
      </c>
    </row>
    <row r="11" spans="1:17">
      <c r="A11" s="31" t="s">
        <v>105</v>
      </c>
      <c r="F11" s="32" t="s">
        <v>21</v>
      </c>
      <c r="G11" s="23" t="s">
        <v>106</v>
      </c>
      <c r="H11" s="33">
        <f t="shared" si="0"/>
        <v>101</v>
      </c>
      <c r="I11" s="34">
        <v>2</v>
      </c>
      <c r="J11" s="30" t="s">
        <v>107</v>
      </c>
    </row>
    <row r="12" spans="1:17">
      <c r="A12" s="31" t="s">
        <v>108</v>
      </c>
      <c r="B12" s="30" t="s">
        <v>109</v>
      </c>
      <c r="F12" s="32" t="s">
        <v>21</v>
      </c>
      <c r="G12" s="23" t="s">
        <v>106</v>
      </c>
      <c r="H12" s="33">
        <f t="shared" si="0"/>
        <v>103</v>
      </c>
      <c r="I12" s="34">
        <v>1</v>
      </c>
      <c r="J12" s="30" t="s">
        <v>110</v>
      </c>
    </row>
    <row r="13" spans="1:17">
      <c r="A13" s="31" t="s">
        <v>111</v>
      </c>
      <c r="F13" s="32" t="s">
        <v>21</v>
      </c>
      <c r="G13" s="23" t="s">
        <v>106</v>
      </c>
      <c r="H13" s="33">
        <f t="shared" si="0"/>
        <v>104</v>
      </c>
      <c r="I13" s="34">
        <v>6</v>
      </c>
      <c r="J13" s="30" t="s">
        <v>112</v>
      </c>
    </row>
    <row r="14" spans="1:17">
      <c r="A14" s="31" t="s">
        <v>113</v>
      </c>
      <c r="F14" s="32" t="s">
        <v>21</v>
      </c>
      <c r="G14" s="23" t="s">
        <v>106</v>
      </c>
      <c r="H14" s="33">
        <f t="shared" si="0"/>
        <v>110</v>
      </c>
      <c r="I14" s="34">
        <v>5</v>
      </c>
      <c r="J14" s="30" t="s">
        <v>114</v>
      </c>
    </row>
    <row r="15" spans="1:17">
      <c r="A15" s="31" t="s">
        <v>115</v>
      </c>
      <c r="F15" s="32" t="s">
        <v>21</v>
      </c>
      <c r="G15" s="23" t="s">
        <v>106</v>
      </c>
      <c r="H15" s="33">
        <f t="shared" si="0"/>
        <v>115</v>
      </c>
      <c r="I15" s="34">
        <v>2</v>
      </c>
      <c r="J15" s="30" t="s">
        <v>116</v>
      </c>
    </row>
    <row r="16" spans="1:17">
      <c r="A16" s="31" t="s">
        <v>117</v>
      </c>
      <c r="F16" s="32" t="s">
        <v>21</v>
      </c>
      <c r="G16" s="23" t="s">
        <v>106</v>
      </c>
      <c r="H16" s="33">
        <f t="shared" si="0"/>
        <v>117</v>
      </c>
      <c r="I16" s="34">
        <v>35</v>
      </c>
    </row>
    <row r="17" spans="1:10">
      <c r="A17" s="31" t="s">
        <v>118</v>
      </c>
      <c r="B17" s="30" t="s">
        <v>94</v>
      </c>
      <c r="F17" s="32" t="s">
        <v>21</v>
      </c>
      <c r="G17" s="23" t="s">
        <v>106</v>
      </c>
      <c r="H17" s="33">
        <f t="shared" si="0"/>
        <v>152</v>
      </c>
      <c r="I17" s="34">
        <v>30</v>
      </c>
      <c r="J17" s="30" t="s">
        <v>440</v>
      </c>
    </row>
    <row r="18" spans="1:10" ht="92.4">
      <c r="A18" s="31" t="s">
        <v>119</v>
      </c>
      <c r="B18" s="30" t="s">
        <v>441</v>
      </c>
      <c r="F18" s="32" t="s">
        <v>21</v>
      </c>
      <c r="G18" s="23" t="s">
        <v>106</v>
      </c>
      <c r="H18" s="33">
        <f t="shared" si="0"/>
        <v>182</v>
      </c>
      <c r="I18" s="34">
        <v>35</v>
      </c>
      <c r="J18" s="101" t="s">
        <v>484</v>
      </c>
    </row>
    <row r="19" spans="1:10">
      <c r="A19" s="31" t="s">
        <v>120</v>
      </c>
      <c r="F19" s="32" t="s">
        <v>21</v>
      </c>
      <c r="G19" s="23" t="s">
        <v>106</v>
      </c>
      <c r="H19" s="33">
        <f t="shared" si="0"/>
        <v>217</v>
      </c>
      <c r="I19" s="34">
        <v>74</v>
      </c>
    </row>
    <row r="20" spans="1:10">
      <c r="A20" s="31" t="s">
        <v>121</v>
      </c>
      <c r="F20" s="32" t="s">
        <v>21</v>
      </c>
      <c r="G20" s="23" t="s">
        <v>106</v>
      </c>
      <c r="H20" s="33">
        <f t="shared" si="0"/>
        <v>291</v>
      </c>
      <c r="I20" s="34">
        <v>80</v>
      </c>
    </row>
    <row r="21" spans="1:10">
      <c r="A21" s="31" t="s">
        <v>122</v>
      </c>
      <c r="F21" s="32" t="s">
        <v>21</v>
      </c>
      <c r="G21" s="23" t="s">
        <v>106</v>
      </c>
      <c r="H21" s="33">
        <f t="shared" si="0"/>
        <v>371</v>
      </c>
      <c r="I21" s="34">
        <v>80</v>
      </c>
    </row>
    <row r="22" spans="1:10">
      <c r="A22" s="31" t="s">
        <v>123</v>
      </c>
      <c r="F22" s="32" t="s">
        <v>21</v>
      </c>
      <c r="G22" s="23" t="s">
        <v>124</v>
      </c>
      <c r="H22" s="33">
        <f t="shared" si="0"/>
        <v>451</v>
      </c>
      <c r="I22" s="34">
        <v>15</v>
      </c>
      <c r="J22" s="30" t="s">
        <v>125</v>
      </c>
    </row>
    <row r="23" spans="1:10">
      <c r="A23" s="31" t="s">
        <v>126</v>
      </c>
      <c r="B23" s="30" t="s">
        <v>127</v>
      </c>
      <c r="F23" s="32" t="s">
        <v>21</v>
      </c>
      <c r="G23" s="23" t="s">
        <v>128</v>
      </c>
      <c r="H23" s="33">
        <f t="shared" si="0"/>
        <v>466</v>
      </c>
      <c r="I23" s="34">
        <v>15</v>
      </c>
    </row>
    <row r="24" spans="1:10">
      <c r="A24" s="31" t="s">
        <v>129</v>
      </c>
      <c r="F24" s="32" t="s">
        <v>21</v>
      </c>
      <c r="G24" s="23" t="s">
        <v>106</v>
      </c>
      <c r="H24" s="33">
        <f t="shared" si="0"/>
        <v>481</v>
      </c>
      <c r="I24" s="34">
        <v>10</v>
      </c>
    </row>
    <row r="25" spans="1:10">
      <c r="A25" s="31" t="s">
        <v>130</v>
      </c>
      <c r="F25" s="32" t="s">
        <v>21</v>
      </c>
      <c r="G25" s="23" t="s">
        <v>128</v>
      </c>
      <c r="H25" s="33">
        <f t="shared" si="0"/>
        <v>491</v>
      </c>
      <c r="I25" s="34">
        <v>15</v>
      </c>
    </row>
    <row r="26" spans="1:10">
      <c r="A26" s="31" t="s">
        <v>131</v>
      </c>
      <c r="F26" s="32" t="s">
        <v>21</v>
      </c>
      <c r="G26" s="23" t="s">
        <v>106</v>
      </c>
      <c r="H26" s="33">
        <f t="shared" si="0"/>
        <v>506</v>
      </c>
      <c r="I26" s="34">
        <v>10</v>
      </c>
      <c r="J26" s="30" t="s">
        <v>132</v>
      </c>
    </row>
    <row r="27" spans="1:10">
      <c r="A27" s="31" t="s">
        <v>133</v>
      </c>
      <c r="F27" s="32" t="s">
        <v>21</v>
      </c>
      <c r="G27" s="23" t="s">
        <v>106</v>
      </c>
      <c r="H27" s="33">
        <f t="shared" si="0"/>
        <v>516</v>
      </c>
      <c r="I27" s="34">
        <v>10</v>
      </c>
      <c r="J27" s="30" t="s">
        <v>134</v>
      </c>
    </row>
    <row r="28" spans="1:10">
      <c r="A28" s="31" t="s">
        <v>135</v>
      </c>
      <c r="F28" s="32" t="s">
        <v>21</v>
      </c>
      <c r="G28" s="23" t="s">
        <v>106</v>
      </c>
      <c r="H28" s="33">
        <f t="shared" si="0"/>
        <v>526</v>
      </c>
      <c r="I28" s="34">
        <v>10</v>
      </c>
      <c r="J28" s="30" t="s">
        <v>136</v>
      </c>
    </row>
    <row r="29" spans="1:10">
      <c r="F29" s="32"/>
    </row>
    <row r="30" spans="1:10">
      <c r="A30" s="17" t="s">
        <v>485</v>
      </c>
      <c r="B30" s="22"/>
      <c r="C30" s="48"/>
      <c r="D30" s="18"/>
      <c r="E30" s="18"/>
      <c r="F30" s="19"/>
      <c r="G30" s="18"/>
      <c r="H30" s="20"/>
      <c r="I30" s="21"/>
      <c r="J30" s="101"/>
    </row>
    <row r="31" spans="1:10">
      <c r="A31" s="24" t="s">
        <v>93</v>
      </c>
      <c r="B31" s="46" t="s">
        <v>94</v>
      </c>
      <c r="C31" s="49"/>
      <c r="D31" s="25"/>
      <c r="E31" s="25"/>
      <c r="F31" s="26" t="s">
        <v>486</v>
      </c>
      <c r="G31" s="27" t="s">
        <v>95</v>
      </c>
      <c r="H31" s="28">
        <v>1</v>
      </c>
      <c r="I31" s="29">
        <v>25</v>
      </c>
      <c r="J31" s="30" t="s">
        <v>82</v>
      </c>
    </row>
    <row r="32" spans="1:10">
      <c r="A32" s="24" t="s">
        <v>96</v>
      </c>
      <c r="B32" s="46" t="s">
        <v>97</v>
      </c>
      <c r="C32" s="49"/>
      <c r="D32" s="25"/>
      <c r="E32" s="25"/>
      <c r="F32" s="26" t="s">
        <v>486</v>
      </c>
      <c r="G32" s="25" t="s">
        <v>95</v>
      </c>
      <c r="H32" s="28">
        <f t="shared" ref="H32:H37" si="1">H31+I31</f>
        <v>26</v>
      </c>
      <c r="I32" s="29">
        <v>22</v>
      </c>
      <c r="J32" s="30" t="s">
        <v>82</v>
      </c>
    </row>
    <row r="33" spans="1:10">
      <c r="A33" s="24" t="s">
        <v>98</v>
      </c>
      <c r="B33" s="46"/>
      <c r="C33" s="49"/>
      <c r="D33" s="25"/>
      <c r="E33" s="25"/>
      <c r="F33" s="26" t="s">
        <v>486</v>
      </c>
      <c r="G33" s="25" t="s">
        <v>95</v>
      </c>
      <c r="H33" s="28">
        <f t="shared" si="1"/>
        <v>48</v>
      </c>
      <c r="I33" s="29">
        <v>22</v>
      </c>
    </row>
    <row r="34" spans="1:10">
      <c r="A34" s="24" t="s">
        <v>99</v>
      </c>
      <c r="B34" s="46"/>
      <c r="C34" s="49"/>
      <c r="D34" s="25"/>
      <c r="E34" s="25"/>
      <c r="F34" s="26" t="s">
        <v>486</v>
      </c>
      <c r="G34" s="25" t="s">
        <v>95</v>
      </c>
      <c r="H34" s="28">
        <f t="shared" si="1"/>
        <v>70</v>
      </c>
      <c r="I34" s="29">
        <v>22</v>
      </c>
    </row>
    <row r="35" spans="1:10">
      <c r="A35" s="24" t="s">
        <v>100</v>
      </c>
      <c r="B35" s="46"/>
      <c r="C35" s="102" t="s">
        <v>486</v>
      </c>
      <c r="D35" s="25"/>
      <c r="E35" s="25"/>
      <c r="F35" s="26" t="s">
        <v>486</v>
      </c>
      <c r="G35" s="25" t="s">
        <v>95</v>
      </c>
      <c r="H35" s="28">
        <f t="shared" si="1"/>
        <v>92</v>
      </c>
      <c r="I35" s="29">
        <v>4</v>
      </c>
      <c r="J35" s="101"/>
    </row>
    <row r="36" spans="1:10">
      <c r="A36" s="24" t="s">
        <v>101</v>
      </c>
      <c r="B36" s="46"/>
      <c r="C36" s="49" t="s">
        <v>214</v>
      </c>
      <c r="D36" s="25"/>
      <c r="E36" s="25"/>
      <c r="F36" s="26" t="s">
        <v>486</v>
      </c>
      <c r="G36" s="25" t="s">
        <v>95</v>
      </c>
      <c r="H36" s="28">
        <f t="shared" si="1"/>
        <v>96</v>
      </c>
      <c r="I36" s="29">
        <v>2</v>
      </c>
      <c r="J36" s="101"/>
    </row>
    <row r="37" spans="1:10">
      <c r="A37" s="24" t="s">
        <v>103</v>
      </c>
      <c r="B37" s="46"/>
      <c r="C37" s="49" t="s">
        <v>487</v>
      </c>
      <c r="D37" s="25"/>
      <c r="E37" s="25"/>
      <c r="F37" s="26" t="s">
        <v>486</v>
      </c>
      <c r="G37" s="25" t="s">
        <v>95</v>
      </c>
      <c r="H37" s="28">
        <f t="shared" si="1"/>
        <v>98</v>
      </c>
      <c r="I37" s="29">
        <v>3</v>
      </c>
      <c r="J37" s="101"/>
    </row>
    <row r="38" spans="1:10">
      <c r="A38" s="31" t="s">
        <v>488</v>
      </c>
      <c r="F38" s="32" t="s">
        <v>486</v>
      </c>
      <c r="H38" s="23">
        <v>101</v>
      </c>
      <c r="I38" s="34">
        <v>30</v>
      </c>
      <c r="J38" s="101"/>
    </row>
    <row r="39" spans="1:10" ht="39.6">
      <c r="A39" s="31" t="s">
        <v>489</v>
      </c>
      <c r="B39" s="30" t="s">
        <v>94</v>
      </c>
      <c r="F39" s="32" t="s">
        <v>486</v>
      </c>
      <c r="H39" s="23">
        <v>131</v>
      </c>
      <c r="I39" s="103">
        <v>80</v>
      </c>
      <c r="J39" s="119" t="s">
        <v>490</v>
      </c>
    </row>
    <row r="40" spans="1:10" ht="118.2" customHeight="1">
      <c r="A40" s="31" t="s">
        <v>491</v>
      </c>
      <c r="B40" s="30" t="s">
        <v>492</v>
      </c>
      <c r="F40" s="32" t="s">
        <v>486</v>
      </c>
      <c r="H40" s="23">
        <v>211</v>
      </c>
      <c r="I40" s="103">
        <v>80</v>
      </c>
      <c r="J40" s="119" t="s">
        <v>493</v>
      </c>
    </row>
    <row r="41" spans="1:10" ht="109.2" customHeight="1">
      <c r="A41" s="31" t="s">
        <v>494</v>
      </c>
      <c r="B41" s="30" t="s">
        <v>492</v>
      </c>
      <c r="F41" s="32" t="s">
        <v>486</v>
      </c>
      <c r="H41" s="23">
        <v>291</v>
      </c>
      <c r="I41" s="103">
        <v>80</v>
      </c>
      <c r="J41" s="119" t="s">
        <v>493</v>
      </c>
    </row>
    <row r="42" spans="1:10">
      <c r="A42" s="31" t="s">
        <v>495</v>
      </c>
      <c r="F42" s="32" t="s">
        <v>486</v>
      </c>
      <c r="H42" s="23">
        <v>371</v>
      </c>
      <c r="I42" s="34">
        <v>80</v>
      </c>
      <c r="J42" s="101"/>
    </row>
    <row r="43" spans="1:10">
      <c r="F43" s="32"/>
      <c r="J43" s="101"/>
    </row>
    <row r="44" spans="1:10">
      <c r="F44" s="32"/>
    </row>
    <row r="45" spans="1:10">
      <c r="F45" s="32"/>
    </row>
    <row r="46" spans="1:10">
      <c r="A46" s="17" t="s">
        <v>137</v>
      </c>
      <c r="B46" s="22"/>
      <c r="C46" s="48"/>
      <c r="D46" s="18"/>
      <c r="E46" s="18"/>
      <c r="F46" s="19"/>
      <c r="G46" s="18"/>
      <c r="H46" s="20"/>
      <c r="I46" s="21"/>
      <c r="J46" s="22"/>
    </row>
    <row r="47" spans="1:10">
      <c r="A47" s="24" t="s">
        <v>93</v>
      </c>
      <c r="B47" s="46" t="s">
        <v>94</v>
      </c>
      <c r="C47" s="49"/>
      <c r="D47" s="25"/>
      <c r="E47" s="25"/>
      <c r="F47" s="35">
        <v>1000</v>
      </c>
      <c r="G47" s="25" t="s">
        <v>95</v>
      </c>
      <c r="H47" s="28">
        <v>1</v>
      </c>
      <c r="I47" s="29">
        <v>25</v>
      </c>
      <c r="J47" s="30" t="s">
        <v>82</v>
      </c>
    </row>
    <row r="48" spans="1:10">
      <c r="A48" s="24" t="s">
        <v>96</v>
      </c>
      <c r="B48" s="46" t="s">
        <v>97</v>
      </c>
      <c r="C48" s="49"/>
      <c r="D48" s="25"/>
      <c r="E48" s="25"/>
      <c r="F48" s="35">
        <v>1000</v>
      </c>
      <c r="G48" s="25" t="s">
        <v>95</v>
      </c>
      <c r="H48" s="28">
        <f t="shared" ref="H48:H70" si="2">H47+I47</f>
        <v>26</v>
      </c>
      <c r="I48" s="29">
        <v>22</v>
      </c>
      <c r="J48" s="30" t="s">
        <v>82</v>
      </c>
    </row>
    <row r="49" spans="1:10">
      <c r="A49" s="24" t="s">
        <v>98</v>
      </c>
      <c r="B49" s="46"/>
      <c r="C49" s="49"/>
      <c r="D49" s="25"/>
      <c r="E49" s="25"/>
      <c r="F49" s="35">
        <v>1000</v>
      </c>
      <c r="G49" s="25" t="s">
        <v>95</v>
      </c>
      <c r="H49" s="28">
        <f t="shared" si="2"/>
        <v>48</v>
      </c>
      <c r="I49" s="29">
        <v>22</v>
      </c>
    </row>
    <row r="50" spans="1:10">
      <c r="A50" s="24" t="s">
        <v>99</v>
      </c>
      <c r="B50" s="46"/>
      <c r="C50" s="49"/>
      <c r="D50" s="25"/>
      <c r="E50" s="25"/>
      <c r="F50" s="35">
        <v>1000</v>
      </c>
      <c r="G50" s="25" t="s">
        <v>95</v>
      </c>
      <c r="H50" s="28">
        <f t="shared" si="2"/>
        <v>70</v>
      </c>
      <c r="I50" s="29">
        <v>22</v>
      </c>
    </row>
    <row r="51" spans="1:10">
      <c r="A51" s="24" t="s">
        <v>100</v>
      </c>
      <c r="B51" s="46"/>
      <c r="C51" s="49">
        <v>1000</v>
      </c>
      <c r="D51" s="25"/>
      <c r="E51" s="25"/>
      <c r="F51" s="35">
        <v>1000</v>
      </c>
      <c r="G51" s="25" t="s">
        <v>95</v>
      </c>
      <c r="H51" s="28">
        <f t="shared" si="2"/>
        <v>92</v>
      </c>
      <c r="I51" s="29">
        <v>4</v>
      </c>
    </row>
    <row r="52" spans="1:10">
      <c r="A52" s="24" t="s">
        <v>101</v>
      </c>
      <c r="B52" s="46"/>
      <c r="C52" s="49" t="s">
        <v>138</v>
      </c>
      <c r="D52" s="25"/>
      <c r="E52" s="25"/>
      <c r="F52" s="35">
        <v>1000</v>
      </c>
      <c r="G52" s="25" t="s">
        <v>95</v>
      </c>
      <c r="H52" s="28">
        <f t="shared" si="2"/>
        <v>96</v>
      </c>
      <c r="I52" s="29">
        <v>2</v>
      </c>
    </row>
    <row r="53" spans="1:10">
      <c r="A53" s="24" t="s">
        <v>103</v>
      </c>
      <c r="B53" s="46"/>
      <c r="C53" s="49" t="s">
        <v>139</v>
      </c>
      <c r="D53" s="25"/>
      <c r="E53" s="25"/>
      <c r="F53" s="35">
        <v>1000</v>
      </c>
      <c r="G53" s="25" t="s">
        <v>95</v>
      </c>
      <c r="H53" s="28">
        <f t="shared" si="2"/>
        <v>98</v>
      </c>
      <c r="I53" s="29">
        <v>3</v>
      </c>
    </row>
    <row r="54" spans="1:10">
      <c r="A54" s="31" t="s">
        <v>140</v>
      </c>
      <c r="F54" s="36">
        <v>1000</v>
      </c>
      <c r="G54" s="23" t="s">
        <v>106</v>
      </c>
      <c r="H54" s="33">
        <f t="shared" si="2"/>
        <v>101</v>
      </c>
      <c r="I54" s="34">
        <v>1</v>
      </c>
    </row>
    <row r="55" spans="1:10">
      <c r="A55" s="31" t="s">
        <v>141</v>
      </c>
      <c r="F55" s="36">
        <v>1000</v>
      </c>
      <c r="G55" s="23" t="s">
        <v>106</v>
      </c>
      <c r="H55" s="33">
        <f t="shared" si="2"/>
        <v>102</v>
      </c>
      <c r="I55" s="34">
        <v>1</v>
      </c>
    </row>
    <row r="56" spans="1:10">
      <c r="A56" s="31" t="s">
        <v>142</v>
      </c>
      <c r="F56" s="36">
        <v>1000</v>
      </c>
      <c r="G56" s="23" t="s">
        <v>106</v>
      </c>
      <c r="H56" s="33">
        <f t="shared" si="2"/>
        <v>103</v>
      </c>
      <c r="I56" s="34">
        <v>10</v>
      </c>
      <c r="J56" s="30" t="s">
        <v>143</v>
      </c>
    </row>
    <row r="57" spans="1:10">
      <c r="A57" s="31" t="s">
        <v>144</v>
      </c>
      <c r="F57" s="36">
        <v>1000</v>
      </c>
      <c r="G57" s="23" t="s">
        <v>106</v>
      </c>
      <c r="H57" s="33">
        <f t="shared" si="2"/>
        <v>113</v>
      </c>
      <c r="I57" s="34">
        <v>5</v>
      </c>
    </row>
    <row r="58" spans="1:10">
      <c r="A58" s="31" t="s">
        <v>145</v>
      </c>
      <c r="B58" s="30" t="s">
        <v>97</v>
      </c>
      <c r="F58" s="36">
        <v>1000</v>
      </c>
      <c r="G58" s="23" t="s">
        <v>106</v>
      </c>
      <c r="H58" s="33">
        <f t="shared" si="2"/>
        <v>118</v>
      </c>
      <c r="I58" s="34">
        <v>50</v>
      </c>
      <c r="J58" s="30" t="s">
        <v>146</v>
      </c>
    </row>
    <row r="59" spans="1:10" ht="26.4">
      <c r="A59" s="31" t="s">
        <v>147</v>
      </c>
      <c r="B59" s="30" t="s">
        <v>148</v>
      </c>
      <c r="F59" s="36">
        <v>1000</v>
      </c>
      <c r="G59" s="23" t="s">
        <v>124</v>
      </c>
      <c r="H59" s="33">
        <f t="shared" si="2"/>
        <v>168</v>
      </c>
      <c r="I59" s="34">
        <v>15</v>
      </c>
      <c r="J59" s="30" t="s">
        <v>149</v>
      </c>
    </row>
    <row r="60" spans="1:10">
      <c r="A60" s="31" t="s">
        <v>150</v>
      </c>
      <c r="F60" s="36">
        <v>1000</v>
      </c>
      <c r="G60" s="23" t="s">
        <v>128</v>
      </c>
      <c r="H60" s="33">
        <f t="shared" si="2"/>
        <v>183</v>
      </c>
      <c r="I60" s="34">
        <v>22</v>
      </c>
    </row>
    <row r="61" spans="1:10">
      <c r="A61" s="31" t="s">
        <v>151</v>
      </c>
      <c r="B61" s="30" t="s">
        <v>152</v>
      </c>
      <c r="F61" s="36">
        <v>1000</v>
      </c>
      <c r="G61" s="23" t="s">
        <v>106</v>
      </c>
      <c r="H61" s="33">
        <f t="shared" si="2"/>
        <v>205</v>
      </c>
      <c r="I61" s="34">
        <v>30</v>
      </c>
      <c r="J61" s="30" t="s">
        <v>153</v>
      </c>
    </row>
    <row r="62" spans="1:10">
      <c r="A62" s="31" t="s">
        <v>154</v>
      </c>
      <c r="F62" s="36">
        <v>1000</v>
      </c>
      <c r="G62" s="23" t="s">
        <v>106</v>
      </c>
      <c r="H62" s="33">
        <f t="shared" si="2"/>
        <v>235</v>
      </c>
      <c r="I62" s="34">
        <v>10</v>
      </c>
    </row>
    <row r="63" spans="1:10">
      <c r="A63" s="31" t="s">
        <v>155</v>
      </c>
      <c r="F63" s="36">
        <v>1000</v>
      </c>
      <c r="G63" s="23" t="s">
        <v>106</v>
      </c>
      <c r="H63" s="33">
        <f t="shared" si="2"/>
        <v>245</v>
      </c>
      <c r="I63" s="34">
        <v>30</v>
      </c>
    </row>
    <row r="64" spans="1:10">
      <c r="A64" s="31" t="s">
        <v>156</v>
      </c>
      <c r="F64" s="36">
        <v>1000</v>
      </c>
      <c r="G64" s="23" t="s">
        <v>106</v>
      </c>
      <c r="H64" s="33">
        <f t="shared" si="2"/>
        <v>275</v>
      </c>
      <c r="I64" s="34">
        <v>10</v>
      </c>
    </row>
    <row r="65" spans="1:10">
      <c r="A65" s="31" t="s">
        <v>157</v>
      </c>
      <c r="B65" s="30" t="s">
        <v>97</v>
      </c>
      <c r="F65" s="36">
        <v>1000</v>
      </c>
      <c r="G65" s="23" t="s">
        <v>106</v>
      </c>
      <c r="H65" s="33">
        <f t="shared" si="2"/>
        <v>285</v>
      </c>
      <c r="I65" s="34">
        <v>50</v>
      </c>
    </row>
    <row r="66" spans="1:10">
      <c r="A66" s="31" t="s">
        <v>158</v>
      </c>
      <c r="F66" s="36">
        <v>1000</v>
      </c>
      <c r="G66" s="23" t="s">
        <v>106</v>
      </c>
      <c r="H66" s="33">
        <f t="shared" si="2"/>
        <v>335</v>
      </c>
      <c r="I66" s="34">
        <v>30</v>
      </c>
    </row>
    <row r="67" spans="1:10">
      <c r="A67" s="31" t="s">
        <v>159</v>
      </c>
      <c r="F67" s="36">
        <v>1000</v>
      </c>
      <c r="G67" s="23" t="s">
        <v>106</v>
      </c>
      <c r="H67" s="33">
        <f t="shared" si="2"/>
        <v>365</v>
      </c>
      <c r="I67" s="34">
        <v>30</v>
      </c>
    </row>
    <row r="68" spans="1:10">
      <c r="A68" s="31" t="s">
        <v>160</v>
      </c>
      <c r="F68" s="36">
        <v>1000</v>
      </c>
      <c r="G68" s="23" t="s">
        <v>106</v>
      </c>
      <c r="H68" s="33">
        <f t="shared" si="2"/>
        <v>395</v>
      </c>
      <c r="I68" s="34">
        <v>30</v>
      </c>
    </row>
    <row r="69" spans="1:10">
      <c r="A69" s="31" t="s">
        <v>161</v>
      </c>
      <c r="F69" s="36">
        <v>1000</v>
      </c>
      <c r="G69" s="23" t="s">
        <v>106</v>
      </c>
      <c r="H69" s="33">
        <f t="shared" si="2"/>
        <v>425</v>
      </c>
      <c r="I69" s="34">
        <v>30</v>
      </c>
    </row>
    <row r="70" spans="1:10">
      <c r="A70" s="31" t="s">
        <v>162</v>
      </c>
      <c r="F70" s="36">
        <v>1000</v>
      </c>
      <c r="G70" s="23" t="s">
        <v>128</v>
      </c>
      <c r="H70" s="33">
        <f t="shared" si="2"/>
        <v>455</v>
      </c>
      <c r="I70" s="34">
        <v>22</v>
      </c>
    </row>
    <row r="71" spans="1:10">
      <c r="A71" s="31" t="s">
        <v>163</v>
      </c>
      <c r="F71" s="36">
        <v>1000</v>
      </c>
      <c r="G71" s="23" t="s">
        <v>106</v>
      </c>
      <c r="H71" s="33">
        <v>477</v>
      </c>
      <c r="I71" s="34">
        <v>1</v>
      </c>
      <c r="J71" s="30" t="s">
        <v>164</v>
      </c>
    </row>
    <row r="73" spans="1:10">
      <c r="A73" s="17" t="s">
        <v>165</v>
      </c>
      <c r="B73" s="22"/>
      <c r="C73" s="48"/>
      <c r="D73" s="18"/>
      <c r="E73" s="18"/>
      <c r="F73" s="19"/>
      <c r="G73" s="18"/>
      <c r="H73" s="20"/>
      <c r="I73" s="21"/>
      <c r="J73" s="22"/>
    </row>
    <row r="74" spans="1:10">
      <c r="A74" s="24" t="s">
        <v>93</v>
      </c>
      <c r="B74" s="46" t="s">
        <v>94</v>
      </c>
      <c r="C74" s="49"/>
      <c r="D74" s="25"/>
      <c r="E74" s="25"/>
      <c r="F74" s="35">
        <v>1060</v>
      </c>
      <c r="G74" s="25" t="s">
        <v>95</v>
      </c>
      <c r="H74" s="28">
        <v>1</v>
      </c>
      <c r="I74" s="29">
        <v>25</v>
      </c>
      <c r="J74" s="30" t="s">
        <v>82</v>
      </c>
    </row>
    <row r="75" spans="1:10">
      <c r="A75" s="24" t="s">
        <v>96</v>
      </c>
      <c r="B75" s="46" t="s">
        <v>97</v>
      </c>
      <c r="C75" s="49"/>
      <c r="D75" s="25"/>
      <c r="E75" s="25"/>
      <c r="F75" s="35">
        <v>1060</v>
      </c>
      <c r="G75" s="25" t="s">
        <v>95</v>
      </c>
      <c r="H75" s="28">
        <f t="shared" ref="H75:H97" si="3">H74+I74</f>
        <v>26</v>
      </c>
      <c r="I75" s="29">
        <v>22</v>
      </c>
      <c r="J75" s="30" t="s">
        <v>82</v>
      </c>
    </row>
    <row r="76" spans="1:10">
      <c r="A76" s="24" t="s">
        <v>98</v>
      </c>
      <c r="B76" s="46"/>
      <c r="C76" s="49"/>
      <c r="D76" s="25"/>
      <c r="E76" s="25"/>
      <c r="F76" s="35">
        <v>1060</v>
      </c>
      <c r="G76" s="25" t="s">
        <v>95</v>
      </c>
      <c r="H76" s="28">
        <f t="shared" si="3"/>
        <v>48</v>
      </c>
      <c r="I76" s="29">
        <v>22</v>
      </c>
    </row>
    <row r="77" spans="1:10">
      <c r="A77" s="24" t="s">
        <v>99</v>
      </c>
      <c r="B77" s="46"/>
      <c r="C77" s="49"/>
      <c r="D77" s="25"/>
      <c r="E77" s="25"/>
      <c r="F77" s="35">
        <v>1060</v>
      </c>
      <c r="G77" s="25" t="s">
        <v>95</v>
      </c>
      <c r="H77" s="28">
        <f t="shared" si="3"/>
        <v>70</v>
      </c>
      <c r="I77" s="29">
        <v>22</v>
      </c>
    </row>
    <row r="78" spans="1:10">
      <c r="A78" s="24" t="s">
        <v>100</v>
      </c>
      <c r="B78" s="46"/>
      <c r="C78" s="49">
        <v>1060</v>
      </c>
      <c r="D78" s="25"/>
      <c r="E78" s="25"/>
      <c r="F78" s="35">
        <v>1060</v>
      </c>
      <c r="G78" s="25" t="s">
        <v>95</v>
      </c>
      <c r="H78" s="28">
        <f t="shared" si="3"/>
        <v>92</v>
      </c>
      <c r="I78" s="29">
        <v>4</v>
      </c>
    </row>
    <row r="79" spans="1:10">
      <c r="A79" s="24" t="s">
        <v>101</v>
      </c>
      <c r="B79" s="46"/>
      <c r="C79" s="49" t="s">
        <v>166</v>
      </c>
      <c r="D79" s="25"/>
      <c r="E79" s="25"/>
      <c r="F79" s="35">
        <v>1060</v>
      </c>
      <c r="G79" s="25" t="s">
        <v>95</v>
      </c>
      <c r="H79" s="28">
        <f t="shared" si="3"/>
        <v>96</v>
      </c>
      <c r="I79" s="29">
        <v>2</v>
      </c>
    </row>
    <row r="80" spans="1:10">
      <c r="A80" s="24" t="s">
        <v>103</v>
      </c>
      <c r="B80" s="46"/>
      <c r="C80" s="49" t="s">
        <v>167</v>
      </c>
      <c r="D80" s="25"/>
      <c r="E80" s="25"/>
      <c r="F80" s="35">
        <v>1060</v>
      </c>
      <c r="G80" s="25" t="s">
        <v>95</v>
      </c>
      <c r="H80" s="28">
        <f t="shared" si="3"/>
        <v>98</v>
      </c>
      <c r="I80" s="29">
        <v>3</v>
      </c>
    </row>
    <row r="81" spans="1:9">
      <c r="A81" s="31" t="s">
        <v>168</v>
      </c>
      <c r="B81" s="30" t="s">
        <v>169</v>
      </c>
      <c r="F81" s="36">
        <v>1060</v>
      </c>
      <c r="G81" s="23" t="s">
        <v>106</v>
      </c>
      <c r="H81" s="33">
        <f t="shared" si="3"/>
        <v>101</v>
      </c>
      <c r="I81" s="34">
        <v>3</v>
      </c>
    </row>
    <row r="82" spans="1:9">
      <c r="A82" s="31" t="s">
        <v>170</v>
      </c>
      <c r="F82" s="36">
        <v>1060</v>
      </c>
      <c r="G82" s="23" t="s">
        <v>106</v>
      </c>
      <c r="H82" s="33">
        <f t="shared" si="3"/>
        <v>104</v>
      </c>
      <c r="I82" s="34">
        <v>3</v>
      </c>
    </row>
    <row r="83" spans="1:9">
      <c r="A83" s="31" t="s">
        <v>171</v>
      </c>
      <c r="F83" s="36">
        <v>1060</v>
      </c>
      <c r="G83" s="23" t="s">
        <v>124</v>
      </c>
      <c r="H83" s="33">
        <f t="shared" si="3"/>
        <v>107</v>
      </c>
      <c r="I83" s="34">
        <v>15</v>
      </c>
    </row>
    <row r="84" spans="1:9">
      <c r="A84" s="31" t="s">
        <v>172</v>
      </c>
      <c r="F84" s="36">
        <v>1060</v>
      </c>
      <c r="G84" s="23" t="s">
        <v>128</v>
      </c>
      <c r="H84" s="33">
        <f t="shared" si="3"/>
        <v>122</v>
      </c>
      <c r="I84" s="34">
        <v>22</v>
      </c>
    </row>
    <row r="85" spans="1:9">
      <c r="A85" s="31" t="s">
        <v>173</v>
      </c>
      <c r="F85" s="36">
        <v>1060</v>
      </c>
      <c r="G85" s="23" t="s">
        <v>106</v>
      </c>
      <c r="H85" s="33">
        <f t="shared" si="3"/>
        <v>144</v>
      </c>
      <c r="I85" s="34">
        <v>29</v>
      </c>
    </row>
    <row r="86" spans="1:9">
      <c r="A86" s="31" t="s">
        <v>174</v>
      </c>
      <c r="F86" s="36">
        <v>1060</v>
      </c>
      <c r="G86" s="23" t="s">
        <v>106</v>
      </c>
      <c r="H86" s="33">
        <f t="shared" si="3"/>
        <v>173</v>
      </c>
      <c r="I86" s="34">
        <v>30</v>
      </c>
    </row>
    <row r="87" spans="1:9">
      <c r="A87" s="31" t="s">
        <v>175</v>
      </c>
      <c r="F87" s="36">
        <v>1060</v>
      </c>
      <c r="G87" s="23" t="s">
        <v>106</v>
      </c>
      <c r="H87" s="33">
        <f t="shared" si="3"/>
        <v>203</v>
      </c>
      <c r="I87" s="34">
        <v>10</v>
      </c>
    </row>
    <row r="88" spans="1:9">
      <c r="A88" s="31" t="s">
        <v>176</v>
      </c>
      <c r="F88" s="36">
        <v>1060</v>
      </c>
      <c r="G88" s="23" t="s">
        <v>128</v>
      </c>
      <c r="H88" s="33">
        <f t="shared" si="3"/>
        <v>213</v>
      </c>
      <c r="I88" s="34">
        <v>22</v>
      </c>
    </row>
    <row r="89" spans="1:9">
      <c r="A89" s="31" t="s">
        <v>177</v>
      </c>
      <c r="F89" s="36">
        <v>1060</v>
      </c>
      <c r="G89" s="23" t="s">
        <v>106</v>
      </c>
      <c r="H89" s="33">
        <f t="shared" si="3"/>
        <v>235</v>
      </c>
      <c r="I89" s="34">
        <v>30</v>
      </c>
    </row>
    <row r="90" spans="1:9">
      <c r="A90" s="31" t="s">
        <v>178</v>
      </c>
      <c r="F90" s="36">
        <v>1060</v>
      </c>
      <c r="G90" s="23" t="s">
        <v>106</v>
      </c>
      <c r="H90" s="33">
        <f t="shared" si="3"/>
        <v>265</v>
      </c>
      <c r="I90" s="34">
        <v>20</v>
      </c>
    </row>
    <row r="91" spans="1:9">
      <c r="A91" s="31" t="s">
        <v>179</v>
      </c>
      <c r="F91" s="36">
        <v>1060</v>
      </c>
      <c r="G91" s="23" t="s">
        <v>106</v>
      </c>
      <c r="H91" s="33">
        <f t="shared" si="3"/>
        <v>285</v>
      </c>
      <c r="I91" s="34">
        <v>80</v>
      </c>
    </row>
    <row r="92" spans="1:9">
      <c r="A92" s="31" t="s">
        <v>180</v>
      </c>
      <c r="F92" s="36">
        <v>1060</v>
      </c>
      <c r="G92" s="23" t="s">
        <v>106</v>
      </c>
      <c r="H92" s="33">
        <f t="shared" si="3"/>
        <v>365</v>
      </c>
      <c r="I92" s="34">
        <v>10</v>
      </c>
    </row>
    <row r="93" spans="1:9">
      <c r="A93" s="31" t="s">
        <v>181</v>
      </c>
      <c r="F93" s="36">
        <v>1060</v>
      </c>
      <c r="G93" s="23" t="s">
        <v>106</v>
      </c>
      <c r="H93" s="33">
        <f t="shared" si="3"/>
        <v>375</v>
      </c>
      <c r="I93" s="34">
        <v>80</v>
      </c>
    </row>
    <row r="94" spans="1:9">
      <c r="A94" s="31" t="s">
        <v>182</v>
      </c>
      <c r="F94" s="36">
        <v>1060</v>
      </c>
      <c r="G94" s="23" t="s">
        <v>124</v>
      </c>
      <c r="H94" s="33">
        <f t="shared" si="3"/>
        <v>455</v>
      </c>
      <c r="I94" s="34">
        <v>15</v>
      </c>
    </row>
    <row r="95" spans="1:9">
      <c r="A95" s="31" t="s">
        <v>183</v>
      </c>
      <c r="F95" s="36">
        <v>1060</v>
      </c>
      <c r="G95" s="23" t="s">
        <v>124</v>
      </c>
      <c r="H95" s="33">
        <f t="shared" si="3"/>
        <v>470</v>
      </c>
      <c r="I95" s="34">
        <v>15</v>
      </c>
    </row>
    <row r="96" spans="1:9">
      <c r="A96" s="31" t="s">
        <v>184</v>
      </c>
      <c r="F96" s="36">
        <v>1060</v>
      </c>
      <c r="G96" s="23" t="s">
        <v>106</v>
      </c>
      <c r="H96" s="33">
        <f t="shared" si="3"/>
        <v>485</v>
      </c>
      <c r="I96" s="34">
        <v>80</v>
      </c>
    </row>
    <row r="97" spans="1:10">
      <c r="A97" s="31" t="s">
        <v>185</v>
      </c>
      <c r="F97" s="36">
        <v>1060</v>
      </c>
      <c r="G97" s="23" t="s">
        <v>106</v>
      </c>
      <c r="H97" s="33">
        <f t="shared" si="3"/>
        <v>565</v>
      </c>
      <c r="I97" s="34">
        <v>50</v>
      </c>
    </row>
    <row r="99" spans="1:10">
      <c r="A99" s="17" t="s">
        <v>186</v>
      </c>
      <c r="B99" s="22"/>
      <c r="C99" s="48"/>
      <c r="D99" s="18"/>
      <c r="E99" s="18"/>
      <c r="F99" s="19"/>
      <c r="G99" s="18"/>
      <c r="H99" s="20"/>
      <c r="I99" s="21"/>
      <c r="J99" s="22" t="s">
        <v>82</v>
      </c>
    </row>
    <row r="100" spans="1:10">
      <c r="A100" s="24" t="s">
        <v>93</v>
      </c>
      <c r="B100" s="46" t="s">
        <v>94</v>
      </c>
      <c r="C100" s="49"/>
      <c r="D100" s="25"/>
      <c r="E100" s="25"/>
      <c r="F100" s="35">
        <v>1070</v>
      </c>
      <c r="G100" s="25" t="s">
        <v>95</v>
      </c>
      <c r="H100" s="28">
        <v>1</v>
      </c>
      <c r="I100" s="29">
        <v>25</v>
      </c>
      <c r="J100" s="30" t="s">
        <v>82</v>
      </c>
    </row>
    <row r="101" spans="1:10">
      <c r="A101" s="24" t="s">
        <v>96</v>
      </c>
      <c r="B101" s="46" t="s">
        <v>97</v>
      </c>
      <c r="C101" s="49"/>
      <c r="D101" s="25"/>
      <c r="E101" s="25"/>
      <c r="F101" s="35">
        <v>1070</v>
      </c>
      <c r="G101" s="25" t="s">
        <v>95</v>
      </c>
      <c r="H101" s="28">
        <f t="shared" ref="H101:H122" si="4">H100+I100</f>
        <v>26</v>
      </c>
      <c r="I101" s="29">
        <v>22</v>
      </c>
      <c r="J101" s="30" t="s">
        <v>82</v>
      </c>
    </row>
    <row r="102" spans="1:10">
      <c r="A102" s="24" t="s">
        <v>98</v>
      </c>
      <c r="B102" s="46"/>
      <c r="C102" s="49"/>
      <c r="D102" s="25"/>
      <c r="E102" s="25"/>
      <c r="F102" s="35">
        <v>1070</v>
      </c>
      <c r="G102" s="25" t="s">
        <v>95</v>
      </c>
      <c r="H102" s="28">
        <f t="shared" si="4"/>
        <v>48</v>
      </c>
      <c r="I102" s="29">
        <v>22</v>
      </c>
    </row>
    <row r="103" spans="1:10">
      <c r="A103" s="24" t="s">
        <v>99</v>
      </c>
      <c r="B103" s="46"/>
      <c r="C103" s="49"/>
      <c r="D103" s="25"/>
      <c r="E103" s="25"/>
      <c r="F103" s="35">
        <v>1070</v>
      </c>
      <c r="G103" s="25" t="s">
        <v>95</v>
      </c>
      <c r="H103" s="28">
        <f t="shared" si="4"/>
        <v>70</v>
      </c>
      <c r="I103" s="29">
        <v>22</v>
      </c>
    </row>
    <row r="104" spans="1:10">
      <c r="A104" s="24" t="s">
        <v>100</v>
      </c>
      <c r="B104" s="46"/>
      <c r="C104" s="49">
        <v>1070</v>
      </c>
      <c r="D104" s="25"/>
      <c r="E104" s="25"/>
      <c r="F104" s="35">
        <v>1070</v>
      </c>
      <c r="G104" s="25" t="s">
        <v>95</v>
      </c>
      <c r="H104" s="28">
        <f t="shared" si="4"/>
        <v>92</v>
      </c>
      <c r="I104" s="29">
        <v>4</v>
      </c>
    </row>
    <row r="105" spans="1:10">
      <c r="A105" s="24" t="s">
        <v>101</v>
      </c>
      <c r="B105" s="46"/>
      <c r="C105" s="49" t="s">
        <v>166</v>
      </c>
      <c r="D105" s="25"/>
      <c r="E105" s="25"/>
      <c r="F105" s="35">
        <v>1070</v>
      </c>
      <c r="G105" s="25" t="s">
        <v>95</v>
      </c>
      <c r="H105" s="28">
        <f t="shared" si="4"/>
        <v>96</v>
      </c>
      <c r="I105" s="29">
        <v>2</v>
      </c>
    </row>
    <row r="106" spans="1:10">
      <c r="A106" s="24" t="s">
        <v>103</v>
      </c>
      <c r="B106" s="46"/>
      <c r="C106" s="49" t="s">
        <v>187</v>
      </c>
      <c r="D106" s="25"/>
      <c r="E106" s="25"/>
      <c r="F106" s="35">
        <v>1070</v>
      </c>
      <c r="G106" s="25" t="s">
        <v>95</v>
      </c>
      <c r="H106" s="28">
        <f t="shared" si="4"/>
        <v>98</v>
      </c>
      <c r="I106" s="29">
        <v>3</v>
      </c>
    </row>
    <row r="107" spans="1:10">
      <c r="A107" s="31" t="s">
        <v>188</v>
      </c>
      <c r="F107" s="36">
        <v>1070</v>
      </c>
      <c r="G107" s="23" t="s">
        <v>106</v>
      </c>
      <c r="H107" s="33">
        <f t="shared" si="4"/>
        <v>101</v>
      </c>
      <c r="I107" s="34">
        <v>30</v>
      </c>
      <c r="J107" s="30" t="s">
        <v>82</v>
      </c>
    </row>
    <row r="108" spans="1:10">
      <c r="A108" s="31" t="s">
        <v>189</v>
      </c>
      <c r="F108" s="36">
        <v>1070</v>
      </c>
      <c r="G108" s="23" t="s">
        <v>106</v>
      </c>
      <c r="H108" s="33">
        <f t="shared" si="4"/>
        <v>131</v>
      </c>
      <c r="I108" s="34">
        <v>10</v>
      </c>
    </row>
    <row r="109" spans="1:10">
      <c r="A109" s="31" t="s">
        <v>190</v>
      </c>
      <c r="F109" s="36">
        <v>1070</v>
      </c>
      <c r="G109" s="23" t="s">
        <v>106</v>
      </c>
      <c r="H109" s="33">
        <f t="shared" si="4"/>
        <v>141</v>
      </c>
      <c r="I109" s="34">
        <v>10</v>
      </c>
    </row>
    <row r="110" spans="1:10">
      <c r="A110" s="31" t="s">
        <v>191</v>
      </c>
      <c r="F110" s="36">
        <v>1070</v>
      </c>
      <c r="G110" s="23" t="s">
        <v>106</v>
      </c>
      <c r="H110" s="33">
        <f t="shared" si="4"/>
        <v>151</v>
      </c>
      <c r="I110" s="34">
        <v>10</v>
      </c>
    </row>
    <row r="111" spans="1:10">
      <c r="A111" s="31" t="s">
        <v>192</v>
      </c>
      <c r="F111" s="36">
        <v>1070</v>
      </c>
      <c r="G111" s="23" t="s">
        <v>106</v>
      </c>
      <c r="H111" s="33">
        <f t="shared" si="4"/>
        <v>161</v>
      </c>
      <c r="I111" s="34">
        <v>10</v>
      </c>
    </row>
    <row r="112" spans="1:10">
      <c r="A112" s="31" t="s">
        <v>193</v>
      </c>
      <c r="F112" s="36">
        <v>1070</v>
      </c>
      <c r="G112" s="23" t="s">
        <v>106</v>
      </c>
      <c r="H112" s="33">
        <f t="shared" si="4"/>
        <v>171</v>
      </c>
      <c r="I112" s="34">
        <v>10</v>
      </c>
    </row>
    <row r="113" spans="1:10">
      <c r="A113" s="31" t="s">
        <v>194</v>
      </c>
      <c r="F113" s="36">
        <v>1070</v>
      </c>
      <c r="G113" s="23" t="s">
        <v>106</v>
      </c>
      <c r="H113" s="33">
        <f t="shared" si="4"/>
        <v>181</v>
      </c>
      <c r="I113" s="34">
        <v>1</v>
      </c>
    </row>
    <row r="114" spans="1:10">
      <c r="A114" s="31" t="s">
        <v>195</v>
      </c>
      <c r="F114" s="36">
        <v>1070</v>
      </c>
      <c r="G114" s="23" t="s">
        <v>106</v>
      </c>
      <c r="H114" s="33">
        <f t="shared" si="4"/>
        <v>182</v>
      </c>
      <c r="I114" s="34">
        <v>50</v>
      </c>
    </row>
    <row r="115" spans="1:10">
      <c r="A115" s="31" t="s">
        <v>196</v>
      </c>
      <c r="F115" s="36">
        <v>1070</v>
      </c>
      <c r="G115" s="23" t="s">
        <v>106</v>
      </c>
      <c r="H115" s="33">
        <f t="shared" si="4"/>
        <v>232</v>
      </c>
      <c r="I115" s="34">
        <v>30</v>
      </c>
    </row>
    <row r="116" spans="1:10">
      <c r="A116" s="31" t="s">
        <v>197</v>
      </c>
      <c r="F116" s="36">
        <v>1070</v>
      </c>
      <c r="G116" s="23" t="s">
        <v>106</v>
      </c>
      <c r="H116" s="33">
        <f t="shared" si="4"/>
        <v>262</v>
      </c>
      <c r="I116" s="34">
        <v>30</v>
      </c>
    </row>
    <row r="117" spans="1:10">
      <c r="A117" s="31" t="s">
        <v>198</v>
      </c>
      <c r="F117" s="36">
        <v>1070</v>
      </c>
      <c r="G117" s="23" t="s">
        <v>106</v>
      </c>
      <c r="H117" s="33">
        <f t="shared" si="4"/>
        <v>292</v>
      </c>
      <c r="I117" s="34">
        <v>30</v>
      </c>
    </row>
    <row r="118" spans="1:10">
      <c r="A118" s="31" t="s">
        <v>199</v>
      </c>
      <c r="F118" s="36">
        <v>1070</v>
      </c>
      <c r="G118" s="23" t="s">
        <v>106</v>
      </c>
      <c r="H118" s="33">
        <f t="shared" si="4"/>
        <v>322</v>
      </c>
      <c r="I118" s="34">
        <v>30</v>
      </c>
    </row>
    <row r="119" spans="1:10">
      <c r="A119" s="31" t="s">
        <v>200</v>
      </c>
      <c r="F119" s="36">
        <v>1070</v>
      </c>
      <c r="G119" s="23" t="s">
        <v>106</v>
      </c>
      <c r="H119" s="33">
        <f t="shared" si="4"/>
        <v>352</v>
      </c>
      <c r="I119" s="34">
        <v>30</v>
      </c>
    </row>
    <row r="120" spans="1:10">
      <c r="A120" s="31" t="s">
        <v>201</v>
      </c>
      <c r="F120" s="36">
        <v>1070</v>
      </c>
      <c r="G120" s="23" t="s">
        <v>106</v>
      </c>
      <c r="H120" s="33">
        <f t="shared" si="4"/>
        <v>382</v>
      </c>
      <c r="I120" s="34">
        <v>30</v>
      </c>
    </row>
    <row r="121" spans="1:10">
      <c r="A121" s="31" t="s">
        <v>202</v>
      </c>
      <c r="F121" s="36">
        <v>1070</v>
      </c>
      <c r="G121" s="23" t="s">
        <v>106</v>
      </c>
      <c r="H121" s="33">
        <f t="shared" si="4"/>
        <v>412</v>
      </c>
      <c r="I121" s="34">
        <v>30</v>
      </c>
    </row>
    <row r="122" spans="1:10">
      <c r="A122" s="31" t="s">
        <v>203</v>
      </c>
      <c r="F122" s="36">
        <v>1070</v>
      </c>
      <c r="G122" s="23" t="s">
        <v>106</v>
      </c>
      <c r="H122" s="33">
        <f t="shared" si="4"/>
        <v>442</v>
      </c>
      <c r="I122" s="34">
        <v>30</v>
      </c>
    </row>
    <row r="124" spans="1:10">
      <c r="A124" s="17" t="s">
        <v>204</v>
      </c>
      <c r="B124" s="22"/>
      <c r="C124" s="48"/>
      <c r="D124" s="18"/>
      <c r="E124" s="18"/>
      <c r="F124" s="19"/>
      <c r="G124" s="18"/>
      <c r="H124" s="20"/>
      <c r="I124" s="21"/>
      <c r="J124" s="22"/>
    </row>
    <row r="125" spans="1:10">
      <c r="A125" s="24" t="s">
        <v>93</v>
      </c>
      <c r="B125" s="46" t="s">
        <v>94</v>
      </c>
      <c r="C125" s="49"/>
      <c r="D125" s="25"/>
      <c r="E125" s="25"/>
      <c r="F125" s="35">
        <v>1100</v>
      </c>
      <c r="G125" s="25" t="s">
        <v>95</v>
      </c>
      <c r="H125" s="28">
        <v>1</v>
      </c>
      <c r="I125" s="29">
        <v>25</v>
      </c>
      <c r="J125" s="30" t="s">
        <v>82</v>
      </c>
    </row>
    <row r="126" spans="1:10">
      <c r="A126" s="24" t="s">
        <v>96</v>
      </c>
      <c r="B126" s="46" t="s">
        <v>97</v>
      </c>
      <c r="C126" s="49"/>
      <c r="D126" s="25"/>
      <c r="E126" s="25"/>
      <c r="F126" s="35">
        <v>1100</v>
      </c>
      <c r="G126" s="25" t="s">
        <v>95</v>
      </c>
      <c r="H126" s="28">
        <f t="shared" ref="H126:H133" si="5">H125+I125</f>
        <v>26</v>
      </c>
      <c r="I126" s="29">
        <v>22</v>
      </c>
      <c r="J126" s="30" t="s">
        <v>82</v>
      </c>
    </row>
    <row r="127" spans="1:10">
      <c r="A127" s="24" t="s">
        <v>98</v>
      </c>
      <c r="B127" s="46"/>
      <c r="C127" s="49"/>
      <c r="D127" s="25"/>
      <c r="E127" s="25"/>
      <c r="F127" s="35">
        <v>1100</v>
      </c>
      <c r="G127" s="25" t="s">
        <v>95</v>
      </c>
      <c r="H127" s="28">
        <f t="shared" si="5"/>
        <v>48</v>
      </c>
      <c r="I127" s="29">
        <v>22</v>
      </c>
    </row>
    <row r="128" spans="1:10">
      <c r="A128" s="24" t="s">
        <v>99</v>
      </c>
      <c r="B128" s="46"/>
      <c r="C128" s="49"/>
      <c r="D128" s="25"/>
      <c r="E128" s="25"/>
      <c r="F128" s="35">
        <v>1100</v>
      </c>
      <c r="G128" s="25" t="s">
        <v>95</v>
      </c>
      <c r="H128" s="28">
        <f t="shared" si="5"/>
        <v>70</v>
      </c>
      <c r="I128" s="29">
        <v>22</v>
      </c>
    </row>
    <row r="129" spans="1:10">
      <c r="A129" s="24" t="s">
        <v>100</v>
      </c>
      <c r="B129" s="46"/>
      <c r="C129" s="49">
        <v>1100</v>
      </c>
      <c r="D129" s="25"/>
      <c r="E129" s="25"/>
      <c r="F129" s="35">
        <v>1100</v>
      </c>
      <c r="G129" s="25" t="s">
        <v>95</v>
      </c>
      <c r="H129" s="28">
        <f t="shared" si="5"/>
        <v>92</v>
      </c>
      <c r="I129" s="29">
        <v>4</v>
      </c>
    </row>
    <row r="130" spans="1:10">
      <c r="A130" s="24" t="s">
        <v>101</v>
      </c>
      <c r="B130" s="46"/>
      <c r="C130" s="49" t="s">
        <v>205</v>
      </c>
      <c r="D130" s="25"/>
      <c r="E130" s="25"/>
      <c r="F130" s="35">
        <v>1100</v>
      </c>
      <c r="G130" s="25" t="s">
        <v>95</v>
      </c>
      <c r="H130" s="28">
        <f t="shared" si="5"/>
        <v>96</v>
      </c>
      <c r="I130" s="29">
        <v>2</v>
      </c>
    </row>
    <row r="131" spans="1:10">
      <c r="A131" s="24" t="s">
        <v>103</v>
      </c>
      <c r="B131" s="46"/>
      <c r="C131" s="49" t="s">
        <v>206</v>
      </c>
      <c r="D131" s="25"/>
      <c r="E131" s="25"/>
      <c r="F131" s="35">
        <v>1100</v>
      </c>
      <c r="G131" s="25" t="s">
        <v>95</v>
      </c>
      <c r="H131" s="28">
        <f t="shared" si="5"/>
        <v>98</v>
      </c>
      <c r="I131" s="29">
        <v>3</v>
      </c>
    </row>
    <row r="132" spans="1:10" ht="26.4">
      <c r="A132" s="127" t="s">
        <v>207</v>
      </c>
      <c r="B132" s="128" t="s">
        <v>442</v>
      </c>
      <c r="C132" s="127"/>
      <c r="D132" s="129"/>
      <c r="E132" s="129"/>
      <c r="F132" s="130">
        <v>1100</v>
      </c>
      <c r="G132" s="129" t="s">
        <v>106</v>
      </c>
      <c r="H132" s="131">
        <f t="shared" si="5"/>
        <v>101</v>
      </c>
      <c r="I132" s="129">
        <v>400</v>
      </c>
      <c r="J132" s="128" t="s">
        <v>500</v>
      </c>
    </row>
    <row r="133" spans="1:10">
      <c r="A133" s="127" t="s">
        <v>208</v>
      </c>
      <c r="B133" s="128" t="s">
        <v>497</v>
      </c>
      <c r="C133" s="127"/>
      <c r="D133" s="129"/>
      <c r="E133" s="129"/>
      <c r="F133" s="130">
        <v>1100</v>
      </c>
      <c r="G133" s="129" t="s">
        <v>106</v>
      </c>
      <c r="H133" s="131">
        <f t="shared" si="5"/>
        <v>501</v>
      </c>
      <c r="I133" s="129">
        <v>400</v>
      </c>
      <c r="J133" s="128" t="s">
        <v>498</v>
      </c>
    </row>
    <row r="135" spans="1:10">
      <c r="A135" s="17" t="s">
        <v>209</v>
      </c>
      <c r="B135" s="22"/>
      <c r="C135" s="48"/>
      <c r="D135" s="18"/>
      <c r="E135" s="18"/>
      <c r="F135" s="19"/>
      <c r="G135" s="18"/>
      <c r="H135" s="20"/>
      <c r="I135" s="21"/>
      <c r="J135" s="22"/>
    </row>
    <row r="136" spans="1:10">
      <c r="A136" s="24" t="s">
        <v>93</v>
      </c>
      <c r="B136" s="46" t="s">
        <v>94</v>
      </c>
      <c r="C136" s="49"/>
      <c r="D136" s="25"/>
      <c r="E136" s="25"/>
      <c r="F136" s="35">
        <v>1110</v>
      </c>
      <c r="G136" s="25" t="s">
        <v>95</v>
      </c>
      <c r="H136" s="28">
        <v>1</v>
      </c>
      <c r="I136" s="29">
        <v>25</v>
      </c>
      <c r="J136" s="30" t="s">
        <v>82</v>
      </c>
    </row>
    <row r="137" spans="1:10">
      <c r="A137" s="24" t="s">
        <v>96</v>
      </c>
      <c r="B137" s="46" t="s">
        <v>97</v>
      </c>
      <c r="C137" s="49"/>
      <c r="D137" s="25"/>
      <c r="E137" s="25"/>
      <c r="F137" s="35">
        <v>1110</v>
      </c>
      <c r="G137" s="25" t="s">
        <v>95</v>
      </c>
      <c r="H137" s="28">
        <f t="shared" ref="H137:H144" si="6">H136+I136</f>
        <v>26</v>
      </c>
      <c r="I137" s="29">
        <v>22</v>
      </c>
      <c r="J137" s="30" t="s">
        <v>82</v>
      </c>
    </row>
    <row r="138" spans="1:10">
      <c r="A138" s="24" t="s">
        <v>98</v>
      </c>
      <c r="B138" s="46"/>
      <c r="C138" s="49"/>
      <c r="D138" s="25"/>
      <c r="E138" s="25"/>
      <c r="F138" s="35">
        <v>1110</v>
      </c>
      <c r="G138" s="25" t="s">
        <v>95</v>
      </c>
      <c r="H138" s="28">
        <f t="shared" si="6"/>
        <v>48</v>
      </c>
      <c r="I138" s="29">
        <v>22</v>
      </c>
    </row>
    <row r="139" spans="1:10">
      <c r="A139" s="24" t="s">
        <v>99</v>
      </c>
      <c r="B139" s="46"/>
      <c r="C139" s="49"/>
      <c r="D139" s="25"/>
      <c r="E139" s="25"/>
      <c r="F139" s="35">
        <v>1110</v>
      </c>
      <c r="G139" s="25" t="s">
        <v>95</v>
      </c>
      <c r="H139" s="28">
        <f t="shared" si="6"/>
        <v>70</v>
      </c>
      <c r="I139" s="29">
        <v>22</v>
      </c>
    </row>
    <row r="140" spans="1:10">
      <c r="A140" s="24" t="s">
        <v>100</v>
      </c>
      <c r="B140" s="46"/>
      <c r="C140" s="49">
        <v>1110</v>
      </c>
      <c r="D140" s="25"/>
      <c r="E140" s="25"/>
      <c r="F140" s="35">
        <v>1110</v>
      </c>
      <c r="G140" s="25" t="s">
        <v>95</v>
      </c>
      <c r="H140" s="28">
        <f t="shared" si="6"/>
        <v>92</v>
      </c>
      <c r="I140" s="29">
        <v>4</v>
      </c>
    </row>
    <row r="141" spans="1:10">
      <c r="A141" s="24" t="s">
        <v>101</v>
      </c>
      <c r="B141" s="46"/>
      <c r="C141" s="49" t="s">
        <v>205</v>
      </c>
      <c r="D141" s="25"/>
      <c r="E141" s="25"/>
      <c r="F141" s="35">
        <v>1110</v>
      </c>
      <c r="G141" s="25" t="s">
        <v>95</v>
      </c>
      <c r="H141" s="28">
        <f t="shared" si="6"/>
        <v>96</v>
      </c>
      <c r="I141" s="29">
        <v>2</v>
      </c>
    </row>
    <row r="142" spans="1:10">
      <c r="A142" s="24" t="s">
        <v>103</v>
      </c>
      <c r="B142" s="46"/>
      <c r="C142" s="49" t="s">
        <v>206</v>
      </c>
      <c r="D142" s="25"/>
      <c r="E142" s="25"/>
      <c r="F142" s="35">
        <v>1110</v>
      </c>
      <c r="G142" s="25" t="s">
        <v>95</v>
      </c>
      <c r="H142" s="28">
        <f t="shared" si="6"/>
        <v>98</v>
      </c>
      <c r="I142" s="29">
        <v>3</v>
      </c>
    </row>
    <row r="143" spans="1:10" ht="87.75" customHeight="1">
      <c r="A143" s="31" t="s">
        <v>210</v>
      </c>
      <c r="B143" s="30" t="s">
        <v>211</v>
      </c>
      <c r="F143" s="36">
        <v>1110</v>
      </c>
      <c r="G143" s="23" t="s">
        <v>212</v>
      </c>
      <c r="H143" s="33">
        <f t="shared" si="6"/>
        <v>101</v>
      </c>
      <c r="I143" s="34">
        <v>15</v>
      </c>
      <c r="J143" s="30" t="s">
        <v>443</v>
      </c>
    </row>
    <row r="144" spans="1:10">
      <c r="F144" s="36">
        <v>1110</v>
      </c>
      <c r="G144" s="23" t="s">
        <v>106</v>
      </c>
      <c r="H144" s="33">
        <f t="shared" si="6"/>
        <v>116</v>
      </c>
      <c r="I144" s="34">
        <v>400</v>
      </c>
    </row>
    <row r="146" spans="1:10">
      <c r="A146" s="17" t="s">
        <v>213</v>
      </c>
      <c r="B146" s="22"/>
      <c r="C146" s="48"/>
      <c r="D146" s="18"/>
      <c r="E146" s="18"/>
      <c r="F146" s="19"/>
      <c r="G146" s="18"/>
      <c r="H146" s="20"/>
      <c r="I146" s="21"/>
      <c r="J146" s="22"/>
    </row>
    <row r="147" spans="1:10">
      <c r="A147" s="24" t="s">
        <v>93</v>
      </c>
      <c r="B147" s="46" t="s">
        <v>94</v>
      </c>
      <c r="C147" s="49"/>
      <c r="D147" s="25"/>
      <c r="E147" s="25"/>
      <c r="F147" s="35">
        <v>1200</v>
      </c>
      <c r="G147" s="25" t="s">
        <v>95</v>
      </c>
      <c r="H147" s="28">
        <v>1</v>
      </c>
      <c r="I147" s="29">
        <v>25</v>
      </c>
      <c r="J147" s="30" t="s">
        <v>82</v>
      </c>
    </row>
    <row r="148" spans="1:10">
      <c r="A148" s="24" t="s">
        <v>96</v>
      </c>
      <c r="B148" s="46" t="s">
        <v>97</v>
      </c>
      <c r="C148" s="49"/>
      <c r="D148" s="25"/>
      <c r="E148" s="25"/>
      <c r="F148" s="35">
        <v>1200</v>
      </c>
      <c r="G148" s="25" t="s">
        <v>95</v>
      </c>
      <c r="H148" s="28">
        <f t="shared" ref="H148:H153" si="7">H147+I147</f>
        <v>26</v>
      </c>
      <c r="I148" s="29">
        <v>22</v>
      </c>
      <c r="J148" s="30" t="s">
        <v>82</v>
      </c>
    </row>
    <row r="149" spans="1:10">
      <c r="A149" s="24" t="s">
        <v>98</v>
      </c>
      <c r="B149" s="46"/>
      <c r="C149" s="49"/>
      <c r="D149" s="25"/>
      <c r="E149" s="25"/>
      <c r="F149" s="35">
        <v>1200</v>
      </c>
      <c r="G149" s="25" t="s">
        <v>95</v>
      </c>
      <c r="H149" s="28">
        <f t="shared" si="7"/>
        <v>48</v>
      </c>
      <c r="I149" s="29">
        <v>22</v>
      </c>
    </row>
    <row r="150" spans="1:10">
      <c r="A150" s="24" t="s">
        <v>99</v>
      </c>
      <c r="B150" s="46"/>
      <c r="C150" s="49"/>
      <c r="D150" s="25"/>
      <c r="E150" s="25"/>
      <c r="F150" s="35">
        <v>1200</v>
      </c>
      <c r="G150" s="25" t="s">
        <v>95</v>
      </c>
      <c r="H150" s="28">
        <f t="shared" si="7"/>
        <v>70</v>
      </c>
      <c r="I150" s="29">
        <v>22</v>
      </c>
    </row>
    <row r="151" spans="1:10">
      <c r="A151" s="24" t="s">
        <v>100</v>
      </c>
      <c r="B151" s="46"/>
      <c r="C151" s="49">
        <v>1200</v>
      </c>
      <c r="D151" s="25"/>
      <c r="E151" s="25"/>
      <c r="F151" s="35">
        <v>1200</v>
      </c>
      <c r="G151" s="25" t="s">
        <v>95</v>
      </c>
      <c r="H151" s="28">
        <f t="shared" si="7"/>
        <v>92</v>
      </c>
      <c r="I151" s="29">
        <v>4</v>
      </c>
    </row>
    <row r="152" spans="1:10">
      <c r="A152" s="24" t="s">
        <v>101</v>
      </c>
      <c r="B152" s="46"/>
      <c r="C152" s="49" t="s">
        <v>214</v>
      </c>
      <c r="D152" s="25"/>
      <c r="E152" s="25"/>
      <c r="F152" s="35">
        <v>1200</v>
      </c>
      <c r="G152" s="25" t="s">
        <v>95</v>
      </c>
      <c r="H152" s="28">
        <f t="shared" si="7"/>
        <v>96</v>
      </c>
      <c r="I152" s="29">
        <v>2</v>
      </c>
    </row>
    <row r="153" spans="1:10">
      <c r="A153" s="24" t="s">
        <v>103</v>
      </c>
      <c r="B153" s="46"/>
      <c r="C153" s="49" t="s">
        <v>139</v>
      </c>
      <c r="D153" s="25"/>
      <c r="E153" s="25"/>
      <c r="F153" s="35">
        <v>1200</v>
      </c>
      <c r="G153" s="25" t="s">
        <v>95</v>
      </c>
      <c r="H153" s="28">
        <f t="shared" si="7"/>
        <v>98</v>
      </c>
      <c r="I153" s="29">
        <v>3</v>
      </c>
    </row>
    <row r="154" spans="1:10">
      <c r="A154" s="31" t="s">
        <v>215</v>
      </c>
      <c r="F154" s="36">
        <v>1200</v>
      </c>
      <c r="G154" s="23" t="s">
        <v>106</v>
      </c>
      <c r="H154" s="37">
        <v>101</v>
      </c>
      <c r="I154" s="34">
        <v>30</v>
      </c>
      <c r="J154" s="30" t="s">
        <v>82</v>
      </c>
    </row>
    <row r="155" spans="1:10" ht="14.25" customHeight="1">
      <c r="A155" s="38" t="s">
        <v>216</v>
      </c>
      <c r="B155" s="30" t="s">
        <v>82</v>
      </c>
      <c r="C155" s="47" t="s">
        <v>217</v>
      </c>
      <c r="F155" s="36">
        <v>1200</v>
      </c>
      <c r="G155" s="23" t="s">
        <v>106</v>
      </c>
      <c r="H155" s="37">
        <v>131</v>
      </c>
      <c r="I155" s="34">
        <v>80</v>
      </c>
      <c r="J155" s="30" t="s">
        <v>82</v>
      </c>
    </row>
    <row r="156" spans="1:10" ht="17.25" customHeight="1">
      <c r="A156" s="38" t="s">
        <v>218</v>
      </c>
      <c r="F156" s="36">
        <v>1200</v>
      </c>
      <c r="G156" s="23" t="s">
        <v>106</v>
      </c>
      <c r="H156" s="37">
        <v>211</v>
      </c>
      <c r="I156" s="34">
        <v>80</v>
      </c>
    </row>
    <row r="157" spans="1:10" ht="16.5" customHeight="1">
      <c r="A157" s="38" t="s">
        <v>219</v>
      </c>
      <c r="F157" s="36">
        <v>1200</v>
      </c>
      <c r="G157" s="23" t="s">
        <v>106</v>
      </c>
      <c r="H157" s="37">
        <v>291</v>
      </c>
      <c r="I157" s="34">
        <v>80</v>
      </c>
    </row>
    <row r="158" spans="1:10" ht="15.75" customHeight="1">
      <c r="A158" s="118" t="s">
        <v>220</v>
      </c>
      <c r="B158" s="113" t="s">
        <v>499</v>
      </c>
      <c r="C158" s="114"/>
      <c r="D158" s="115"/>
      <c r="E158" s="115"/>
      <c r="F158" s="116">
        <v>1200</v>
      </c>
      <c r="G158" s="115" t="s">
        <v>106</v>
      </c>
      <c r="H158" s="126">
        <v>371</v>
      </c>
      <c r="I158" s="117">
        <v>80</v>
      </c>
      <c r="J158" s="113"/>
    </row>
    <row r="159" spans="1:10" ht="15.75" customHeight="1">
      <c r="A159" s="38"/>
      <c r="H159" s="37"/>
    </row>
    <row r="160" spans="1:10">
      <c r="A160" s="17" t="s">
        <v>221</v>
      </c>
      <c r="B160" s="22"/>
      <c r="C160" s="48"/>
      <c r="D160" s="18"/>
      <c r="E160" s="18"/>
      <c r="F160" s="19"/>
      <c r="G160" s="18"/>
      <c r="H160" s="20"/>
      <c r="I160" s="21"/>
      <c r="J160" s="22"/>
    </row>
    <row r="161" spans="1:10">
      <c r="A161" s="24" t="s">
        <v>93</v>
      </c>
      <c r="B161" s="46" t="s">
        <v>94</v>
      </c>
      <c r="C161" s="49"/>
      <c r="D161" s="25"/>
      <c r="E161" s="25"/>
      <c r="F161" s="35">
        <v>1210</v>
      </c>
      <c r="G161" s="25" t="s">
        <v>95</v>
      </c>
      <c r="H161" s="28">
        <v>1</v>
      </c>
      <c r="I161" s="29">
        <v>25</v>
      </c>
      <c r="J161" s="30" t="s">
        <v>82</v>
      </c>
    </row>
    <row r="162" spans="1:10">
      <c r="A162" s="24" t="s">
        <v>96</v>
      </c>
      <c r="B162" s="46" t="s">
        <v>97</v>
      </c>
      <c r="C162" s="49"/>
      <c r="D162" s="25"/>
      <c r="E162" s="25"/>
      <c r="F162" s="35">
        <v>1210</v>
      </c>
      <c r="G162" s="25" t="s">
        <v>95</v>
      </c>
      <c r="H162" s="28">
        <f t="shared" ref="H162:H167" si="8">H161+I161</f>
        <v>26</v>
      </c>
      <c r="I162" s="29">
        <v>22</v>
      </c>
      <c r="J162" s="30" t="s">
        <v>82</v>
      </c>
    </row>
    <row r="163" spans="1:10">
      <c r="A163" s="24" t="s">
        <v>98</v>
      </c>
      <c r="B163" s="46"/>
      <c r="C163" s="49"/>
      <c r="D163" s="25"/>
      <c r="E163" s="25"/>
      <c r="F163" s="35">
        <v>1210</v>
      </c>
      <c r="G163" s="25" t="s">
        <v>95</v>
      </c>
      <c r="H163" s="28">
        <f t="shared" si="8"/>
        <v>48</v>
      </c>
      <c r="I163" s="29">
        <v>22</v>
      </c>
    </row>
    <row r="164" spans="1:10">
      <c r="A164" s="24" t="s">
        <v>99</v>
      </c>
      <c r="B164" s="46"/>
      <c r="C164" s="49"/>
      <c r="D164" s="25"/>
      <c r="E164" s="25"/>
      <c r="F164" s="35">
        <v>1210</v>
      </c>
      <c r="G164" s="25" t="s">
        <v>95</v>
      </c>
      <c r="H164" s="28">
        <f t="shared" si="8"/>
        <v>70</v>
      </c>
      <c r="I164" s="29">
        <v>22</v>
      </c>
    </row>
    <row r="165" spans="1:10">
      <c r="A165" s="24" t="s">
        <v>100</v>
      </c>
      <c r="B165" s="46"/>
      <c r="C165" s="49">
        <v>1210</v>
      </c>
      <c r="D165" s="25"/>
      <c r="E165" s="25"/>
      <c r="F165" s="35">
        <v>1210</v>
      </c>
      <c r="G165" s="25" t="s">
        <v>95</v>
      </c>
      <c r="H165" s="28">
        <f t="shared" si="8"/>
        <v>92</v>
      </c>
      <c r="I165" s="29">
        <v>4</v>
      </c>
    </row>
    <row r="166" spans="1:10">
      <c r="A166" s="24" t="s">
        <v>101</v>
      </c>
      <c r="B166" s="46"/>
      <c r="C166" s="49" t="s">
        <v>214</v>
      </c>
      <c r="D166" s="25"/>
      <c r="E166" s="25"/>
      <c r="F166" s="35">
        <v>1210</v>
      </c>
      <c r="G166" s="25" t="s">
        <v>95</v>
      </c>
      <c r="H166" s="28">
        <f t="shared" si="8"/>
        <v>96</v>
      </c>
      <c r="I166" s="29">
        <v>2</v>
      </c>
    </row>
    <row r="167" spans="1:10">
      <c r="A167" s="24" t="s">
        <v>103</v>
      </c>
      <c r="B167" s="46"/>
      <c r="C167" s="49" t="s">
        <v>222</v>
      </c>
      <c r="D167" s="25"/>
      <c r="E167" s="25"/>
      <c r="F167" s="35">
        <v>1210</v>
      </c>
      <c r="G167" s="25" t="s">
        <v>95</v>
      </c>
      <c r="H167" s="28">
        <f t="shared" si="8"/>
        <v>98</v>
      </c>
      <c r="I167" s="29">
        <v>3</v>
      </c>
    </row>
    <row r="168" spans="1:10">
      <c r="A168" s="31" t="s">
        <v>215</v>
      </c>
      <c r="F168" s="36">
        <v>1210</v>
      </c>
      <c r="G168" s="23" t="s">
        <v>106</v>
      </c>
      <c r="H168" s="37">
        <v>101</v>
      </c>
      <c r="I168" s="34">
        <v>30</v>
      </c>
      <c r="J168" s="30" t="s">
        <v>82</v>
      </c>
    </row>
    <row r="169" spans="1:10" ht="126.6" customHeight="1">
      <c r="A169" s="38" t="s">
        <v>223</v>
      </c>
      <c r="B169" s="101" t="s">
        <v>492</v>
      </c>
      <c r="C169" s="120"/>
      <c r="D169" s="121"/>
      <c r="E169" s="121"/>
      <c r="F169" s="122">
        <v>1210</v>
      </c>
      <c r="G169" s="121" t="s">
        <v>106</v>
      </c>
      <c r="H169" s="123">
        <v>131</v>
      </c>
      <c r="I169" s="124">
        <v>80</v>
      </c>
      <c r="J169" s="101" t="s">
        <v>496</v>
      </c>
    </row>
    <row r="170" spans="1:10" ht="17.25" customHeight="1">
      <c r="A170" s="38" t="s">
        <v>224</v>
      </c>
      <c r="B170" s="30" t="s">
        <v>82</v>
      </c>
      <c r="F170" s="36">
        <v>1210</v>
      </c>
      <c r="G170" s="23" t="s">
        <v>106</v>
      </c>
      <c r="H170" s="37">
        <v>211</v>
      </c>
      <c r="I170" s="34">
        <v>80</v>
      </c>
      <c r="J170" s="30" t="s">
        <v>82</v>
      </c>
    </row>
    <row r="171" spans="1:10" ht="16.5" customHeight="1">
      <c r="A171" s="38" t="s">
        <v>225</v>
      </c>
      <c r="B171" s="30" t="s">
        <v>82</v>
      </c>
      <c r="F171" s="36">
        <v>1210</v>
      </c>
      <c r="G171" s="23" t="s">
        <v>106</v>
      </c>
      <c r="H171" s="37">
        <v>291</v>
      </c>
      <c r="I171" s="34">
        <v>80</v>
      </c>
      <c r="J171" s="30" t="s">
        <v>82</v>
      </c>
    </row>
    <row r="172" spans="1:10" ht="15.75" customHeight="1">
      <c r="A172" s="38" t="s">
        <v>226</v>
      </c>
      <c r="B172" s="30" t="s">
        <v>82</v>
      </c>
      <c r="F172" s="36">
        <v>1210</v>
      </c>
      <c r="G172" s="23" t="s">
        <v>106</v>
      </c>
      <c r="H172" s="37">
        <v>371</v>
      </c>
      <c r="I172" s="34">
        <v>80</v>
      </c>
      <c r="J172" s="30" t="s">
        <v>82</v>
      </c>
    </row>
    <row r="173" spans="1:10" ht="15.75" customHeight="1">
      <c r="A173" s="38" t="s">
        <v>227</v>
      </c>
      <c r="B173" s="30" t="s">
        <v>82</v>
      </c>
      <c r="F173" s="36">
        <v>1210</v>
      </c>
      <c r="G173" s="23" t="s">
        <v>106</v>
      </c>
      <c r="H173" s="23">
        <v>421</v>
      </c>
      <c r="I173" s="39">
        <v>80</v>
      </c>
      <c r="J173" s="23" t="s">
        <v>82</v>
      </c>
    </row>
    <row r="175" spans="1:10">
      <c r="A175" s="17" t="s">
        <v>228</v>
      </c>
      <c r="B175" s="22"/>
      <c r="C175" s="48"/>
      <c r="D175" s="18"/>
      <c r="E175" s="18"/>
      <c r="F175" s="19"/>
      <c r="G175" s="18"/>
      <c r="H175" s="20"/>
      <c r="I175" s="21"/>
      <c r="J175" s="22"/>
    </row>
    <row r="176" spans="1:10">
      <c r="A176" s="24" t="s">
        <v>93</v>
      </c>
      <c r="B176" s="46" t="s">
        <v>94</v>
      </c>
      <c r="C176" s="49"/>
      <c r="D176" s="25"/>
      <c r="E176" s="25"/>
      <c r="F176" s="35">
        <v>1400</v>
      </c>
      <c r="G176" s="25" t="s">
        <v>95</v>
      </c>
      <c r="H176" s="28">
        <v>1</v>
      </c>
      <c r="I176" s="29">
        <v>25</v>
      </c>
      <c r="J176" s="30" t="s">
        <v>82</v>
      </c>
    </row>
    <row r="177" spans="1:10">
      <c r="A177" s="24" t="s">
        <v>96</v>
      </c>
      <c r="B177" s="46" t="s">
        <v>97</v>
      </c>
      <c r="C177" s="49"/>
      <c r="D177" s="25"/>
      <c r="E177" s="25"/>
      <c r="F177" s="35">
        <v>1400</v>
      </c>
      <c r="G177" s="25" t="s">
        <v>95</v>
      </c>
      <c r="H177" s="28">
        <f t="shared" ref="H177:H199" si="9">H176+I176</f>
        <v>26</v>
      </c>
      <c r="I177" s="29">
        <v>22</v>
      </c>
      <c r="J177" s="30" t="s">
        <v>82</v>
      </c>
    </row>
    <row r="178" spans="1:10">
      <c r="A178" s="24" t="s">
        <v>98</v>
      </c>
      <c r="B178" s="46"/>
      <c r="C178" s="49"/>
      <c r="D178" s="25"/>
      <c r="E178" s="25"/>
      <c r="F178" s="35">
        <v>1400</v>
      </c>
      <c r="G178" s="25" t="s">
        <v>95</v>
      </c>
      <c r="H178" s="28">
        <f t="shared" si="9"/>
        <v>48</v>
      </c>
      <c r="I178" s="29">
        <v>22</v>
      </c>
    </row>
    <row r="179" spans="1:10">
      <c r="A179" s="24" t="s">
        <v>99</v>
      </c>
      <c r="B179" s="46"/>
      <c r="C179" s="49"/>
      <c r="D179" s="25"/>
      <c r="E179" s="25"/>
      <c r="F179" s="35">
        <v>1400</v>
      </c>
      <c r="G179" s="25" t="s">
        <v>95</v>
      </c>
      <c r="H179" s="28">
        <f t="shared" si="9"/>
        <v>70</v>
      </c>
      <c r="I179" s="29">
        <v>22</v>
      </c>
    </row>
    <row r="180" spans="1:10">
      <c r="A180" s="24" t="s">
        <v>100</v>
      </c>
      <c r="B180" s="46"/>
      <c r="C180" s="49">
        <v>1400</v>
      </c>
      <c r="D180" s="25"/>
      <c r="E180" s="25"/>
      <c r="F180" s="35">
        <v>1400</v>
      </c>
      <c r="G180" s="25" t="s">
        <v>95</v>
      </c>
      <c r="H180" s="28">
        <f t="shared" si="9"/>
        <v>92</v>
      </c>
      <c r="I180" s="29">
        <v>4</v>
      </c>
    </row>
    <row r="181" spans="1:10">
      <c r="A181" s="24" t="s">
        <v>101</v>
      </c>
      <c r="B181" s="46"/>
      <c r="C181" s="49" t="s">
        <v>229</v>
      </c>
      <c r="D181" s="25"/>
      <c r="E181" s="25"/>
      <c r="F181" s="35">
        <v>1400</v>
      </c>
      <c r="G181" s="25" t="s">
        <v>95</v>
      </c>
      <c r="H181" s="28">
        <f t="shared" si="9"/>
        <v>96</v>
      </c>
      <c r="I181" s="29">
        <v>2</v>
      </c>
    </row>
    <row r="182" spans="1:10">
      <c r="A182" s="24" t="s">
        <v>103</v>
      </c>
      <c r="B182" s="46"/>
      <c r="C182" s="49" t="s">
        <v>230</v>
      </c>
      <c r="D182" s="25"/>
      <c r="E182" s="25"/>
      <c r="F182" s="35">
        <v>1400</v>
      </c>
      <c r="G182" s="25" t="s">
        <v>95</v>
      </c>
      <c r="H182" s="28">
        <f t="shared" si="9"/>
        <v>98</v>
      </c>
      <c r="I182" s="29">
        <v>3</v>
      </c>
    </row>
    <row r="183" spans="1:10">
      <c r="A183" s="31" t="s">
        <v>231</v>
      </c>
      <c r="F183" s="36">
        <v>1400</v>
      </c>
      <c r="G183" s="23" t="s">
        <v>95</v>
      </c>
      <c r="H183" s="33">
        <v>101</v>
      </c>
      <c r="I183" s="34">
        <v>60</v>
      </c>
    </row>
    <row r="184" spans="1:10">
      <c r="A184" s="31" t="s">
        <v>232</v>
      </c>
      <c r="B184" s="30" t="s">
        <v>233</v>
      </c>
      <c r="F184" s="36">
        <v>1400</v>
      </c>
      <c r="G184" s="23" t="s">
        <v>106</v>
      </c>
      <c r="H184" s="33">
        <v>161</v>
      </c>
      <c r="I184" s="34">
        <v>35</v>
      </c>
      <c r="J184" s="30" t="s">
        <v>234</v>
      </c>
    </row>
    <row r="185" spans="1:10">
      <c r="A185" s="31" t="s">
        <v>235</v>
      </c>
      <c r="B185" s="30" t="s">
        <v>82</v>
      </c>
      <c r="F185" s="36">
        <v>1400</v>
      </c>
      <c r="G185" s="23" t="s">
        <v>106</v>
      </c>
      <c r="H185" s="33">
        <f t="shared" si="9"/>
        <v>196</v>
      </c>
      <c r="I185" s="34">
        <v>60</v>
      </c>
      <c r="J185" s="30" t="s">
        <v>82</v>
      </c>
    </row>
    <row r="186" spans="1:10">
      <c r="A186" s="31" t="s">
        <v>236</v>
      </c>
      <c r="F186" s="36">
        <v>1400</v>
      </c>
      <c r="G186" s="23" t="s">
        <v>106</v>
      </c>
      <c r="H186" s="33">
        <f t="shared" si="9"/>
        <v>256</v>
      </c>
      <c r="I186" s="34">
        <v>35</v>
      </c>
    </row>
    <row r="187" spans="1:10">
      <c r="A187" s="31" t="s">
        <v>237</v>
      </c>
      <c r="F187" s="36">
        <v>1400</v>
      </c>
      <c r="G187" s="23" t="s">
        <v>106</v>
      </c>
      <c r="H187" s="33">
        <f t="shared" si="9"/>
        <v>291</v>
      </c>
      <c r="I187" s="34">
        <v>35</v>
      </c>
    </row>
    <row r="188" spans="1:10">
      <c r="A188" s="31" t="s">
        <v>238</v>
      </c>
      <c r="F188" s="36">
        <v>1400</v>
      </c>
      <c r="G188" s="23" t="s">
        <v>106</v>
      </c>
      <c r="H188" s="33">
        <f t="shared" si="9"/>
        <v>326</v>
      </c>
      <c r="I188" s="34">
        <v>35</v>
      </c>
    </row>
    <row r="189" spans="1:10">
      <c r="A189" s="31" t="s">
        <v>239</v>
      </c>
      <c r="F189" s="36">
        <v>1400</v>
      </c>
      <c r="G189" s="23" t="s">
        <v>106</v>
      </c>
      <c r="H189" s="33">
        <f t="shared" si="9"/>
        <v>361</v>
      </c>
      <c r="I189" s="34">
        <v>35</v>
      </c>
    </row>
    <row r="190" spans="1:10">
      <c r="A190" s="31" t="s">
        <v>240</v>
      </c>
      <c r="F190" s="36">
        <v>1400</v>
      </c>
      <c r="G190" s="23" t="s">
        <v>106</v>
      </c>
      <c r="H190" s="33">
        <f t="shared" si="9"/>
        <v>396</v>
      </c>
      <c r="I190" s="34">
        <v>30</v>
      </c>
    </row>
    <row r="191" spans="1:10">
      <c r="A191" s="31" t="s">
        <v>241</v>
      </c>
      <c r="F191" s="36">
        <v>1400</v>
      </c>
      <c r="G191" s="23" t="s">
        <v>106</v>
      </c>
      <c r="H191" s="33">
        <f t="shared" si="9"/>
        <v>426</v>
      </c>
      <c r="I191" s="34">
        <v>15</v>
      </c>
    </row>
    <row r="192" spans="1:10">
      <c r="A192" s="31" t="s">
        <v>242</v>
      </c>
      <c r="F192" s="36">
        <v>1400</v>
      </c>
      <c r="G192" s="23" t="s">
        <v>106</v>
      </c>
      <c r="H192" s="33">
        <f t="shared" si="9"/>
        <v>441</v>
      </c>
      <c r="I192" s="34">
        <v>20</v>
      </c>
    </row>
    <row r="193" spans="1:10">
      <c r="A193" s="31" t="s">
        <v>243</v>
      </c>
      <c r="F193" s="36">
        <v>1400</v>
      </c>
      <c r="G193" s="23" t="s">
        <v>106</v>
      </c>
      <c r="H193" s="33">
        <f t="shared" si="9"/>
        <v>461</v>
      </c>
      <c r="I193" s="34">
        <v>3</v>
      </c>
    </row>
    <row r="194" spans="1:10">
      <c r="A194" s="31" t="s">
        <v>244</v>
      </c>
      <c r="F194" s="36">
        <v>1400</v>
      </c>
      <c r="G194" s="23" t="s">
        <v>106</v>
      </c>
      <c r="H194" s="33">
        <f t="shared" si="9"/>
        <v>464</v>
      </c>
      <c r="I194" s="34">
        <v>20</v>
      </c>
    </row>
    <row r="195" spans="1:10">
      <c r="A195" s="31" t="s">
        <v>245</v>
      </c>
      <c r="F195" s="36">
        <v>1400</v>
      </c>
      <c r="G195" s="23" t="s">
        <v>106</v>
      </c>
      <c r="H195" s="33">
        <f t="shared" si="9"/>
        <v>484</v>
      </c>
      <c r="I195" s="34">
        <v>10</v>
      </c>
    </row>
    <row r="196" spans="1:10">
      <c r="A196" s="31" t="s">
        <v>246</v>
      </c>
      <c r="F196" s="36">
        <v>1400</v>
      </c>
      <c r="G196" s="23" t="s">
        <v>106</v>
      </c>
      <c r="H196" s="33">
        <f t="shared" si="9"/>
        <v>494</v>
      </c>
      <c r="I196" s="34">
        <v>20</v>
      </c>
    </row>
    <row r="197" spans="1:10">
      <c r="A197" s="31" t="s">
        <v>247</v>
      </c>
      <c r="F197" s="36">
        <v>1400</v>
      </c>
      <c r="G197" s="23" t="s">
        <v>106</v>
      </c>
      <c r="H197" s="33">
        <f t="shared" si="9"/>
        <v>514</v>
      </c>
      <c r="I197" s="34">
        <v>10</v>
      </c>
    </row>
    <row r="198" spans="1:10">
      <c r="A198" s="31" t="s">
        <v>248</v>
      </c>
      <c r="F198" s="36">
        <v>1400</v>
      </c>
      <c r="G198" s="23" t="s">
        <v>106</v>
      </c>
      <c r="H198" s="33">
        <f t="shared" si="9"/>
        <v>524</v>
      </c>
      <c r="I198" s="34">
        <v>25</v>
      </c>
    </row>
    <row r="199" spans="1:10">
      <c r="A199" s="31" t="s">
        <v>249</v>
      </c>
      <c r="F199" s="36">
        <v>1400</v>
      </c>
      <c r="G199" s="23" t="s">
        <v>106</v>
      </c>
      <c r="H199" s="33">
        <f t="shared" si="9"/>
        <v>549</v>
      </c>
      <c r="I199" s="34">
        <v>30</v>
      </c>
    </row>
    <row r="201" spans="1:10">
      <c r="A201" s="17" t="s">
        <v>250</v>
      </c>
      <c r="B201" s="22"/>
      <c r="C201" s="48"/>
      <c r="D201" s="18"/>
      <c r="E201" s="18"/>
      <c r="F201" s="19"/>
      <c r="G201" s="18"/>
      <c r="H201" s="20"/>
      <c r="I201" s="21"/>
      <c r="J201" s="22"/>
    </row>
    <row r="202" spans="1:10">
      <c r="A202" s="24" t="s">
        <v>93</v>
      </c>
      <c r="B202" s="46" t="s">
        <v>94</v>
      </c>
      <c r="C202" s="49"/>
      <c r="D202" s="25"/>
      <c r="E202" s="25"/>
      <c r="F202" s="35">
        <v>1500</v>
      </c>
      <c r="G202" s="25" t="s">
        <v>95</v>
      </c>
      <c r="H202" s="28">
        <v>1</v>
      </c>
      <c r="I202" s="29">
        <v>25</v>
      </c>
      <c r="J202" s="30" t="s">
        <v>82</v>
      </c>
    </row>
    <row r="203" spans="1:10">
      <c r="A203" s="24" t="s">
        <v>96</v>
      </c>
      <c r="B203" s="46" t="s">
        <v>97</v>
      </c>
      <c r="C203" s="49"/>
      <c r="D203" s="25"/>
      <c r="E203" s="25"/>
      <c r="F203" s="35">
        <v>1500</v>
      </c>
      <c r="G203" s="25" t="s">
        <v>95</v>
      </c>
      <c r="H203" s="28">
        <f t="shared" ref="H203:H225" si="10">H202+I202</f>
        <v>26</v>
      </c>
      <c r="I203" s="29">
        <v>22</v>
      </c>
      <c r="J203" s="30" t="s">
        <v>82</v>
      </c>
    </row>
    <row r="204" spans="1:10">
      <c r="A204" s="24" t="s">
        <v>98</v>
      </c>
      <c r="B204" s="46"/>
      <c r="C204" s="49"/>
      <c r="D204" s="25"/>
      <c r="E204" s="25"/>
      <c r="F204" s="35">
        <v>1500</v>
      </c>
      <c r="G204" s="25" t="s">
        <v>95</v>
      </c>
      <c r="H204" s="28">
        <f t="shared" si="10"/>
        <v>48</v>
      </c>
      <c r="I204" s="29">
        <v>22</v>
      </c>
    </row>
    <row r="205" spans="1:10">
      <c r="A205" s="24" t="s">
        <v>99</v>
      </c>
      <c r="B205" s="46"/>
      <c r="C205" s="49"/>
      <c r="D205" s="25"/>
      <c r="E205" s="25"/>
      <c r="F205" s="35">
        <v>1500</v>
      </c>
      <c r="G205" s="25" t="s">
        <v>95</v>
      </c>
      <c r="H205" s="28">
        <f t="shared" si="10"/>
        <v>70</v>
      </c>
      <c r="I205" s="29">
        <v>22</v>
      </c>
    </row>
    <row r="206" spans="1:10">
      <c r="A206" s="24" t="s">
        <v>100</v>
      </c>
      <c r="B206" s="46"/>
      <c r="C206" s="49">
        <v>1500</v>
      </c>
      <c r="D206" s="25"/>
      <c r="E206" s="25"/>
      <c r="F206" s="35">
        <v>1500</v>
      </c>
      <c r="G206" s="25" t="s">
        <v>95</v>
      </c>
      <c r="H206" s="28">
        <f t="shared" si="10"/>
        <v>92</v>
      </c>
      <c r="I206" s="29">
        <v>4</v>
      </c>
    </row>
    <row r="207" spans="1:10">
      <c r="A207" s="24" t="s">
        <v>101</v>
      </c>
      <c r="B207" s="46"/>
      <c r="C207" s="49" t="s">
        <v>229</v>
      </c>
      <c r="D207" s="25"/>
      <c r="E207" s="25"/>
      <c r="F207" s="35">
        <v>1500</v>
      </c>
      <c r="G207" s="25" t="s">
        <v>95</v>
      </c>
      <c r="H207" s="28">
        <f t="shared" si="10"/>
        <v>96</v>
      </c>
      <c r="I207" s="29">
        <v>2</v>
      </c>
    </row>
    <row r="208" spans="1:10">
      <c r="A208" s="24" t="s">
        <v>103</v>
      </c>
      <c r="B208" s="46"/>
      <c r="C208" s="49" t="s">
        <v>251</v>
      </c>
      <c r="D208" s="25"/>
      <c r="E208" s="25"/>
      <c r="F208" s="35">
        <v>1500</v>
      </c>
      <c r="G208" s="25" t="s">
        <v>95</v>
      </c>
      <c r="H208" s="28">
        <f t="shared" si="10"/>
        <v>98</v>
      </c>
      <c r="I208" s="29">
        <v>3</v>
      </c>
    </row>
    <row r="209" spans="1:10">
      <c r="A209" s="31" t="s">
        <v>252</v>
      </c>
      <c r="F209" s="36">
        <v>1500</v>
      </c>
      <c r="G209" s="23" t="s">
        <v>106</v>
      </c>
      <c r="H209" s="33">
        <f t="shared" si="10"/>
        <v>101</v>
      </c>
      <c r="I209" s="34">
        <v>60</v>
      </c>
    </row>
    <row r="210" spans="1:10" ht="92.4">
      <c r="A210" s="31" t="s">
        <v>253</v>
      </c>
      <c r="B210" s="101" t="s">
        <v>492</v>
      </c>
      <c r="C210" s="120"/>
      <c r="D210" s="121"/>
      <c r="E210" s="121"/>
      <c r="F210" s="122">
        <v>1500</v>
      </c>
      <c r="G210" s="121" t="s">
        <v>106</v>
      </c>
      <c r="H210" s="125">
        <f t="shared" si="10"/>
        <v>161</v>
      </c>
      <c r="I210" s="124">
        <v>35</v>
      </c>
      <c r="J210" s="101" t="s">
        <v>496</v>
      </c>
    </row>
    <row r="211" spans="1:10">
      <c r="A211" s="31" t="s">
        <v>255</v>
      </c>
      <c r="B211" s="30" t="s">
        <v>82</v>
      </c>
      <c r="F211" s="36">
        <v>1500</v>
      </c>
      <c r="G211" s="23" t="s">
        <v>106</v>
      </c>
      <c r="H211" s="33">
        <f t="shared" si="10"/>
        <v>196</v>
      </c>
      <c r="I211" s="34">
        <v>60</v>
      </c>
      <c r="J211" s="30" t="s">
        <v>82</v>
      </c>
    </row>
    <row r="212" spans="1:10">
      <c r="A212" s="31" t="s">
        <v>256</v>
      </c>
      <c r="B212" s="30" t="s">
        <v>82</v>
      </c>
      <c r="F212" s="36">
        <v>1500</v>
      </c>
      <c r="G212" s="23" t="s">
        <v>106</v>
      </c>
      <c r="H212" s="33">
        <f t="shared" si="10"/>
        <v>256</v>
      </c>
      <c r="I212" s="34">
        <v>35</v>
      </c>
      <c r="J212" s="30" t="s">
        <v>82</v>
      </c>
    </row>
    <row r="213" spans="1:10">
      <c r="A213" s="31" t="s">
        <v>257</v>
      </c>
      <c r="B213" s="30" t="s">
        <v>82</v>
      </c>
      <c r="F213" s="36">
        <v>1500</v>
      </c>
      <c r="G213" s="23" t="s">
        <v>106</v>
      </c>
      <c r="H213" s="33">
        <f t="shared" si="10"/>
        <v>291</v>
      </c>
      <c r="I213" s="34">
        <v>35</v>
      </c>
    </row>
    <row r="214" spans="1:10">
      <c r="A214" s="31" t="s">
        <v>258</v>
      </c>
      <c r="F214" s="36">
        <v>1500</v>
      </c>
      <c r="G214" s="23" t="s">
        <v>106</v>
      </c>
      <c r="H214" s="33">
        <f t="shared" si="10"/>
        <v>326</v>
      </c>
      <c r="I214" s="34">
        <v>35</v>
      </c>
    </row>
    <row r="215" spans="1:10">
      <c r="A215" s="31" t="s">
        <v>259</v>
      </c>
      <c r="F215" s="36">
        <v>1500</v>
      </c>
      <c r="G215" s="23" t="s">
        <v>106</v>
      </c>
      <c r="H215" s="33">
        <f t="shared" si="10"/>
        <v>361</v>
      </c>
      <c r="I215" s="34">
        <v>35</v>
      </c>
    </row>
    <row r="216" spans="1:10">
      <c r="A216" s="31" t="s">
        <v>260</v>
      </c>
      <c r="B216" s="30" t="s">
        <v>82</v>
      </c>
      <c r="F216" s="36">
        <v>1500</v>
      </c>
      <c r="G216" s="23" t="s">
        <v>106</v>
      </c>
      <c r="H216" s="33">
        <f t="shared" si="10"/>
        <v>396</v>
      </c>
      <c r="I216" s="34">
        <v>30</v>
      </c>
      <c r="J216" s="30" t="s">
        <v>82</v>
      </c>
    </row>
    <row r="217" spans="1:10">
      <c r="A217" s="31" t="s">
        <v>261</v>
      </c>
      <c r="B217" s="30" t="s">
        <v>82</v>
      </c>
      <c r="F217" s="36">
        <v>1500</v>
      </c>
      <c r="G217" s="23" t="s">
        <v>106</v>
      </c>
      <c r="H217" s="33">
        <f t="shared" si="10"/>
        <v>426</v>
      </c>
      <c r="I217" s="34">
        <v>15</v>
      </c>
      <c r="J217" s="30" t="s">
        <v>82</v>
      </c>
    </row>
    <row r="218" spans="1:10">
      <c r="A218" s="31" t="s">
        <v>262</v>
      </c>
      <c r="B218" s="30" t="s">
        <v>82</v>
      </c>
      <c r="F218" s="36">
        <v>1500</v>
      </c>
      <c r="G218" s="23" t="s">
        <v>106</v>
      </c>
      <c r="H218" s="33">
        <f t="shared" si="10"/>
        <v>441</v>
      </c>
      <c r="I218" s="34">
        <v>20</v>
      </c>
    </row>
    <row r="219" spans="1:10">
      <c r="A219" s="31" t="s">
        <v>263</v>
      </c>
      <c r="F219" s="36">
        <v>1500</v>
      </c>
      <c r="G219" s="23" t="s">
        <v>106</v>
      </c>
      <c r="H219" s="33">
        <f t="shared" si="10"/>
        <v>461</v>
      </c>
      <c r="I219" s="34">
        <v>3</v>
      </c>
    </row>
    <row r="220" spans="1:10">
      <c r="A220" s="31" t="s">
        <v>264</v>
      </c>
      <c r="B220" s="30" t="s">
        <v>82</v>
      </c>
      <c r="F220" s="36">
        <v>1500</v>
      </c>
      <c r="G220" s="23" t="s">
        <v>106</v>
      </c>
      <c r="H220" s="33">
        <f t="shared" si="10"/>
        <v>464</v>
      </c>
      <c r="I220" s="34">
        <v>20</v>
      </c>
      <c r="J220" s="30" t="s">
        <v>82</v>
      </c>
    </row>
    <row r="221" spans="1:10">
      <c r="A221" s="31" t="s">
        <v>265</v>
      </c>
      <c r="F221" s="36">
        <v>1500</v>
      </c>
      <c r="G221" s="23" t="s">
        <v>106</v>
      </c>
      <c r="H221" s="33">
        <f t="shared" si="10"/>
        <v>484</v>
      </c>
      <c r="I221" s="34">
        <v>10</v>
      </c>
    </row>
    <row r="222" spans="1:10">
      <c r="A222" s="31" t="s">
        <v>266</v>
      </c>
      <c r="F222" s="36">
        <v>1500</v>
      </c>
      <c r="G222" s="23" t="s">
        <v>106</v>
      </c>
      <c r="H222" s="33">
        <f t="shared" si="10"/>
        <v>494</v>
      </c>
      <c r="I222" s="34">
        <v>20</v>
      </c>
    </row>
    <row r="223" spans="1:10">
      <c r="A223" s="31" t="s">
        <v>267</v>
      </c>
      <c r="F223" s="36">
        <v>1500</v>
      </c>
      <c r="G223" s="23" t="s">
        <v>106</v>
      </c>
      <c r="H223" s="33">
        <f t="shared" si="10"/>
        <v>514</v>
      </c>
      <c r="I223" s="34">
        <v>10</v>
      </c>
    </row>
    <row r="224" spans="1:10">
      <c r="A224" s="31" t="s">
        <v>268</v>
      </c>
      <c r="F224" s="36">
        <v>1500</v>
      </c>
      <c r="G224" s="23" t="s">
        <v>106</v>
      </c>
      <c r="H224" s="33">
        <f t="shared" si="10"/>
        <v>524</v>
      </c>
      <c r="I224" s="34">
        <v>25</v>
      </c>
    </row>
    <row r="225" spans="1:10">
      <c r="A225" s="31" t="s">
        <v>269</v>
      </c>
      <c r="F225" s="36">
        <v>1500</v>
      </c>
      <c r="G225" s="23" t="s">
        <v>106</v>
      </c>
      <c r="H225" s="33">
        <f t="shared" si="10"/>
        <v>549</v>
      </c>
      <c r="I225" s="34">
        <v>30</v>
      </c>
    </row>
    <row r="227" spans="1:10" s="42" customFormat="1">
      <c r="A227" s="17" t="s">
        <v>270</v>
      </c>
      <c r="B227" s="30"/>
      <c r="C227" s="30"/>
      <c r="D227" s="40"/>
      <c r="E227" s="40"/>
      <c r="F227" s="41"/>
      <c r="H227" s="43"/>
      <c r="I227" s="44"/>
      <c r="J227" s="30"/>
    </row>
    <row r="228" spans="1:10" s="42" customFormat="1">
      <c r="A228" s="31"/>
      <c r="B228" s="30"/>
      <c r="C228" s="30"/>
      <c r="D228" s="40"/>
      <c r="E228" s="40"/>
      <c r="F228" s="41"/>
      <c r="H228" s="43"/>
      <c r="I228" s="44"/>
      <c r="J228" s="30"/>
    </row>
    <row r="229" spans="1:10">
      <c r="A229" s="17" t="s">
        <v>271</v>
      </c>
      <c r="B229" s="22"/>
      <c r="C229" s="48"/>
      <c r="D229" s="18"/>
      <c r="E229" s="18"/>
      <c r="F229" s="19"/>
      <c r="G229" s="18"/>
      <c r="H229" s="20"/>
      <c r="I229" s="21"/>
      <c r="J229" s="22"/>
    </row>
    <row r="230" spans="1:10">
      <c r="A230" s="24" t="s">
        <v>93</v>
      </c>
      <c r="B230" s="46" t="s">
        <v>94</v>
      </c>
      <c r="C230" s="49"/>
      <c r="D230" s="25"/>
      <c r="E230" s="25"/>
      <c r="F230" s="35">
        <v>2000</v>
      </c>
      <c r="G230" s="25" t="s">
        <v>95</v>
      </c>
      <c r="H230" s="28">
        <v>1</v>
      </c>
      <c r="I230" s="29">
        <v>25</v>
      </c>
      <c r="J230" s="30" t="s">
        <v>82</v>
      </c>
    </row>
    <row r="231" spans="1:10">
      <c r="A231" s="24" t="s">
        <v>96</v>
      </c>
      <c r="B231" s="46" t="s">
        <v>97</v>
      </c>
      <c r="C231" s="49"/>
      <c r="D231" s="25"/>
      <c r="E231" s="25"/>
      <c r="F231" s="35">
        <v>2000</v>
      </c>
      <c r="G231" s="25" t="s">
        <v>95</v>
      </c>
      <c r="H231" s="28">
        <f t="shared" ref="H231:H250" si="11">H230+I230</f>
        <v>26</v>
      </c>
      <c r="I231" s="29">
        <v>22</v>
      </c>
      <c r="J231" s="30" t="s">
        <v>82</v>
      </c>
    </row>
    <row r="232" spans="1:10">
      <c r="A232" s="24" t="s">
        <v>98</v>
      </c>
      <c r="B232" s="46" t="s">
        <v>82</v>
      </c>
      <c r="C232" s="49"/>
      <c r="D232" s="25"/>
      <c r="E232" s="25"/>
      <c r="F232" s="35">
        <v>2000</v>
      </c>
      <c r="G232" s="25" t="s">
        <v>95</v>
      </c>
      <c r="H232" s="28">
        <f t="shared" si="11"/>
        <v>48</v>
      </c>
      <c r="I232" s="29">
        <v>22</v>
      </c>
      <c r="J232" s="30" t="s">
        <v>82</v>
      </c>
    </row>
    <row r="233" spans="1:10">
      <c r="A233" s="24" t="s">
        <v>99</v>
      </c>
      <c r="B233" s="46" t="s">
        <v>272</v>
      </c>
      <c r="C233" s="49"/>
      <c r="D233" s="25"/>
      <c r="E233" s="25"/>
      <c r="F233" s="35">
        <v>2000</v>
      </c>
      <c r="G233" s="25" t="s">
        <v>95</v>
      </c>
      <c r="H233" s="28">
        <f t="shared" si="11"/>
        <v>70</v>
      </c>
      <c r="I233" s="29">
        <v>22</v>
      </c>
      <c r="J233" s="30" t="s">
        <v>273</v>
      </c>
    </row>
    <row r="234" spans="1:10">
      <c r="A234" s="24" t="s">
        <v>100</v>
      </c>
      <c r="B234" s="46"/>
      <c r="C234" s="49">
        <v>2000</v>
      </c>
      <c r="D234" s="25"/>
      <c r="E234" s="25"/>
      <c r="F234" s="35">
        <v>2000</v>
      </c>
      <c r="G234" s="25" t="s">
        <v>95</v>
      </c>
      <c r="H234" s="28">
        <f t="shared" si="11"/>
        <v>92</v>
      </c>
      <c r="I234" s="29">
        <v>4</v>
      </c>
    </row>
    <row r="235" spans="1:10">
      <c r="A235" s="24" t="s">
        <v>101</v>
      </c>
      <c r="B235" s="46"/>
      <c r="C235" s="49" t="s">
        <v>274</v>
      </c>
      <c r="D235" s="25"/>
      <c r="E235" s="25"/>
      <c r="F235" s="35">
        <v>2000</v>
      </c>
      <c r="G235" s="25" t="s">
        <v>95</v>
      </c>
      <c r="H235" s="28">
        <f t="shared" si="11"/>
        <v>96</v>
      </c>
      <c r="I235" s="29">
        <v>2</v>
      </c>
    </row>
    <row r="236" spans="1:10">
      <c r="A236" s="24" t="s">
        <v>103</v>
      </c>
      <c r="B236" s="46"/>
      <c r="C236" s="49" t="s">
        <v>275</v>
      </c>
      <c r="D236" s="25"/>
      <c r="E236" s="25"/>
      <c r="F236" s="35">
        <v>2000</v>
      </c>
      <c r="G236" s="25" t="s">
        <v>95</v>
      </c>
      <c r="H236" s="28">
        <f t="shared" si="11"/>
        <v>98</v>
      </c>
      <c r="I236" s="29">
        <v>3</v>
      </c>
    </row>
    <row r="237" spans="1:10">
      <c r="A237" s="31" t="s">
        <v>276</v>
      </c>
      <c r="B237" s="30" t="s">
        <v>272</v>
      </c>
      <c r="F237" s="36">
        <v>2000</v>
      </c>
      <c r="G237" s="23" t="s">
        <v>106</v>
      </c>
      <c r="H237" s="33">
        <f t="shared" si="11"/>
        <v>101</v>
      </c>
      <c r="I237" s="34">
        <v>20</v>
      </c>
      <c r="J237" s="30" t="s">
        <v>277</v>
      </c>
    </row>
    <row r="238" spans="1:10">
      <c r="A238" s="31" t="s">
        <v>278</v>
      </c>
      <c r="B238" s="30" t="s">
        <v>272</v>
      </c>
      <c r="F238" s="36">
        <v>2000</v>
      </c>
      <c r="G238" s="23" t="s">
        <v>128</v>
      </c>
      <c r="H238" s="33">
        <f t="shared" si="11"/>
        <v>121</v>
      </c>
      <c r="I238" s="34">
        <v>22</v>
      </c>
      <c r="J238" s="30" t="s">
        <v>82</v>
      </c>
    </row>
    <row r="239" spans="1:10" ht="26.4">
      <c r="A239" s="31" t="s">
        <v>279</v>
      </c>
      <c r="B239" s="30" t="s">
        <v>82</v>
      </c>
      <c r="F239" s="36">
        <v>2000</v>
      </c>
      <c r="G239" s="23" t="s">
        <v>106</v>
      </c>
      <c r="H239" s="33">
        <f t="shared" si="11"/>
        <v>143</v>
      </c>
      <c r="I239" s="34">
        <v>50</v>
      </c>
      <c r="J239" s="30" t="s">
        <v>451</v>
      </c>
    </row>
    <row r="240" spans="1:10">
      <c r="A240" s="31" t="s">
        <v>280</v>
      </c>
      <c r="F240" s="36">
        <v>2000</v>
      </c>
      <c r="G240" s="23" t="s">
        <v>106</v>
      </c>
      <c r="H240" s="33">
        <f t="shared" si="11"/>
        <v>193</v>
      </c>
      <c r="I240" s="34">
        <v>3</v>
      </c>
    </row>
    <row r="241" spans="1:10" ht="26.4">
      <c r="A241" s="31" t="s">
        <v>281</v>
      </c>
      <c r="B241" s="30" t="s">
        <v>452</v>
      </c>
      <c r="F241" s="36">
        <v>2000</v>
      </c>
      <c r="G241" s="23" t="s">
        <v>106</v>
      </c>
      <c r="H241" s="33">
        <f t="shared" si="11"/>
        <v>196</v>
      </c>
      <c r="I241" s="34">
        <v>50</v>
      </c>
      <c r="J241" s="42" t="s">
        <v>453</v>
      </c>
    </row>
    <row r="242" spans="1:10">
      <c r="A242" s="31" t="s">
        <v>282</v>
      </c>
      <c r="F242" s="36">
        <v>2000</v>
      </c>
      <c r="G242" s="23" t="s">
        <v>106</v>
      </c>
      <c r="H242" s="33">
        <f t="shared" si="11"/>
        <v>246</v>
      </c>
      <c r="I242" s="34">
        <v>50</v>
      </c>
    </row>
    <row r="243" spans="1:10">
      <c r="A243" s="31" t="s">
        <v>283</v>
      </c>
      <c r="F243" s="36">
        <v>2000</v>
      </c>
      <c r="G243" s="23" t="s">
        <v>106</v>
      </c>
      <c r="H243" s="33">
        <f>H242+I242</f>
        <v>296</v>
      </c>
      <c r="I243" s="34">
        <v>30</v>
      </c>
    </row>
    <row r="244" spans="1:10">
      <c r="A244" s="31" t="s">
        <v>284</v>
      </c>
      <c r="F244" s="36">
        <v>2000</v>
      </c>
      <c r="G244" s="23" t="s">
        <v>106</v>
      </c>
      <c r="H244" s="33">
        <f t="shared" si="11"/>
        <v>326</v>
      </c>
      <c r="I244" s="34">
        <v>10</v>
      </c>
    </row>
    <row r="245" spans="1:10" ht="26.4">
      <c r="A245" s="31" t="s">
        <v>285</v>
      </c>
      <c r="F245" s="36">
        <v>2000</v>
      </c>
      <c r="G245" s="23" t="s">
        <v>106</v>
      </c>
      <c r="H245" s="33">
        <f t="shared" si="11"/>
        <v>336</v>
      </c>
      <c r="I245" s="34">
        <v>50</v>
      </c>
      <c r="J245" s="30" t="s">
        <v>286</v>
      </c>
    </row>
    <row r="246" spans="1:10">
      <c r="A246" s="31" t="s">
        <v>287</v>
      </c>
      <c r="B246" s="30" t="s">
        <v>288</v>
      </c>
      <c r="F246" s="36">
        <v>2000</v>
      </c>
      <c r="G246" s="23" t="s">
        <v>106</v>
      </c>
      <c r="H246" s="33">
        <f t="shared" si="11"/>
        <v>386</v>
      </c>
      <c r="I246" s="34">
        <v>50</v>
      </c>
      <c r="J246" s="30" t="s">
        <v>289</v>
      </c>
    </row>
    <row r="247" spans="1:10">
      <c r="A247" s="31" t="s">
        <v>290</v>
      </c>
      <c r="F247" s="36">
        <v>2000</v>
      </c>
      <c r="G247" s="23" t="s">
        <v>106</v>
      </c>
      <c r="H247" s="33">
        <f t="shared" si="11"/>
        <v>436</v>
      </c>
      <c r="I247" s="34">
        <v>30</v>
      </c>
    </row>
    <row r="248" spans="1:10">
      <c r="A248" s="31" t="s">
        <v>291</v>
      </c>
      <c r="F248" s="36">
        <v>2000</v>
      </c>
      <c r="G248" s="23" t="s">
        <v>106</v>
      </c>
      <c r="H248" s="33">
        <f t="shared" si="11"/>
        <v>466</v>
      </c>
      <c r="I248" s="34">
        <v>30</v>
      </c>
    </row>
    <row r="249" spans="1:10">
      <c r="A249" s="31" t="s">
        <v>292</v>
      </c>
      <c r="F249" s="36">
        <v>2000</v>
      </c>
      <c r="G249" s="23" t="s">
        <v>106</v>
      </c>
      <c r="H249" s="33">
        <f t="shared" si="11"/>
        <v>496</v>
      </c>
      <c r="I249" s="34">
        <v>30</v>
      </c>
    </row>
    <row r="250" spans="1:10">
      <c r="A250" s="31" t="s">
        <v>162</v>
      </c>
      <c r="F250" s="36">
        <v>2000</v>
      </c>
      <c r="G250" s="23" t="s">
        <v>128</v>
      </c>
      <c r="H250" s="33">
        <f t="shared" si="11"/>
        <v>526</v>
      </c>
      <c r="I250" s="34">
        <v>22</v>
      </c>
    </row>
    <row r="252" spans="1:10">
      <c r="A252" s="17" t="s">
        <v>293</v>
      </c>
      <c r="B252" s="22"/>
      <c r="C252" s="48"/>
      <c r="D252" s="18"/>
      <c r="E252" s="18"/>
      <c r="F252" s="19"/>
      <c r="G252" s="18"/>
      <c r="H252" s="20"/>
      <c r="I252" s="21"/>
      <c r="J252" s="22"/>
    </row>
    <row r="253" spans="1:10">
      <c r="A253" s="24" t="s">
        <v>93</v>
      </c>
      <c r="B253" s="46" t="s">
        <v>94</v>
      </c>
      <c r="C253" s="49"/>
      <c r="D253" s="25"/>
      <c r="E253" s="25"/>
      <c r="F253" s="35">
        <v>3000</v>
      </c>
      <c r="G253" s="25" t="s">
        <v>95</v>
      </c>
      <c r="H253" s="28">
        <v>1</v>
      </c>
      <c r="I253" s="29">
        <v>25</v>
      </c>
      <c r="J253" s="30" t="s">
        <v>82</v>
      </c>
    </row>
    <row r="254" spans="1:10">
      <c r="A254" s="24" t="s">
        <v>96</v>
      </c>
      <c r="B254" s="46" t="s">
        <v>97</v>
      </c>
      <c r="C254" s="49"/>
      <c r="D254" s="25"/>
      <c r="E254" s="25"/>
      <c r="F254" s="35">
        <v>3000</v>
      </c>
      <c r="G254" s="25" t="s">
        <v>95</v>
      </c>
      <c r="H254" s="28">
        <f t="shared" ref="H254:H282" si="12">H253+I253</f>
        <v>26</v>
      </c>
      <c r="I254" s="29">
        <v>22</v>
      </c>
      <c r="J254" s="30" t="s">
        <v>82</v>
      </c>
    </row>
    <row r="255" spans="1:10">
      <c r="A255" s="24" t="s">
        <v>98</v>
      </c>
      <c r="B255" s="46" t="s">
        <v>82</v>
      </c>
      <c r="C255" s="49"/>
      <c r="D255" s="25"/>
      <c r="E255" s="25"/>
      <c r="F255" s="35">
        <v>3000</v>
      </c>
      <c r="G255" s="25" t="s">
        <v>95</v>
      </c>
      <c r="H255" s="28">
        <f t="shared" si="12"/>
        <v>48</v>
      </c>
      <c r="I255" s="29">
        <v>22</v>
      </c>
      <c r="J255" s="30" t="s">
        <v>82</v>
      </c>
    </row>
    <row r="256" spans="1:10">
      <c r="A256" s="24" t="s">
        <v>99</v>
      </c>
      <c r="B256" s="46" t="s">
        <v>272</v>
      </c>
      <c r="C256" s="49"/>
      <c r="D256" s="25"/>
      <c r="E256" s="25"/>
      <c r="F256" s="35">
        <v>3000</v>
      </c>
      <c r="G256" s="25" t="s">
        <v>95</v>
      </c>
      <c r="H256" s="28">
        <f t="shared" si="12"/>
        <v>70</v>
      </c>
      <c r="I256" s="29">
        <v>22</v>
      </c>
      <c r="J256" s="30" t="s">
        <v>273</v>
      </c>
    </row>
    <row r="257" spans="1:10">
      <c r="A257" s="24" t="s">
        <v>100</v>
      </c>
      <c r="B257" s="46"/>
      <c r="C257" s="49">
        <v>3000</v>
      </c>
      <c r="D257" s="25"/>
      <c r="E257" s="25"/>
      <c r="F257" s="35">
        <v>3000</v>
      </c>
      <c r="G257" s="25" t="s">
        <v>95</v>
      </c>
      <c r="H257" s="28">
        <f t="shared" si="12"/>
        <v>92</v>
      </c>
      <c r="I257" s="29">
        <v>4</v>
      </c>
    </row>
    <row r="258" spans="1:10">
      <c r="A258" s="24" t="s">
        <v>101</v>
      </c>
      <c r="B258" s="46"/>
      <c r="C258" s="49" t="s">
        <v>294</v>
      </c>
      <c r="D258" s="25"/>
      <c r="E258" s="25"/>
      <c r="F258" s="35">
        <v>3000</v>
      </c>
      <c r="G258" s="25" t="s">
        <v>95</v>
      </c>
      <c r="H258" s="28">
        <f t="shared" si="12"/>
        <v>96</v>
      </c>
      <c r="I258" s="29">
        <v>2</v>
      </c>
    </row>
    <row r="259" spans="1:10">
      <c r="A259" s="24" t="s">
        <v>103</v>
      </c>
      <c r="B259" s="46"/>
      <c r="C259" s="49" t="s">
        <v>295</v>
      </c>
      <c r="D259" s="25"/>
      <c r="E259" s="25"/>
      <c r="F259" s="35">
        <v>3000</v>
      </c>
      <c r="G259" s="25" t="s">
        <v>95</v>
      </c>
      <c r="H259" s="28">
        <f t="shared" si="12"/>
        <v>98</v>
      </c>
      <c r="I259" s="29">
        <v>3</v>
      </c>
    </row>
    <row r="260" spans="1:10">
      <c r="A260" s="31" t="s">
        <v>296</v>
      </c>
      <c r="F260" s="36">
        <v>3000</v>
      </c>
      <c r="G260" s="23" t="s">
        <v>106</v>
      </c>
      <c r="H260" s="33">
        <f t="shared" si="12"/>
        <v>101</v>
      </c>
      <c r="I260" s="34">
        <v>1</v>
      </c>
      <c r="J260" s="30" t="s">
        <v>297</v>
      </c>
    </row>
    <row r="261" spans="1:10">
      <c r="A261" s="31" t="s">
        <v>298</v>
      </c>
      <c r="B261" s="30" t="s">
        <v>299</v>
      </c>
      <c r="F261" s="36">
        <v>3000</v>
      </c>
      <c r="G261" s="23" t="s">
        <v>128</v>
      </c>
      <c r="H261" s="33">
        <f t="shared" si="12"/>
        <v>102</v>
      </c>
      <c r="I261" s="34">
        <v>22</v>
      </c>
      <c r="J261" s="30" t="s">
        <v>82</v>
      </c>
    </row>
    <row r="262" spans="1:10">
      <c r="A262" s="31" t="s">
        <v>300</v>
      </c>
      <c r="B262" s="30" t="s">
        <v>301</v>
      </c>
      <c r="F262" s="36">
        <v>3000</v>
      </c>
      <c r="G262" s="23" t="s">
        <v>106</v>
      </c>
      <c r="H262" s="33">
        <f t="shared" si="12"/>
        <v>124</v>
      </c>
      <c r="I262" s="34">
        <v>3</v>
      </c>
      <c r="J262" s="30" t="s">
        <v>82</v>
      </c>
    </row>
    <row r="263" spans="1:10">
      <c r="A263" s="31" t="s">
        <v>302</v>
      </c>
      <c r="F263" s="36">
        <v>3000</v>
      </c>
      <c r="G263" s="23" t="s">
        <v>106</v>
      </c>
      <c r="H263" s="33">
        <f t="shared" si="12"/>
        <v>127</v>
      </c>
      <c r="I263" s="34">
        <v>10</v>
      </c>
      <c r="J263" s="30" t="s">
        <v>82</v>
      </c>
    </row>
    <row r="264" spans="1:10">
      <c r="A264" s="31" t="s">
        <v>303</v>
      </c>
      <c r="B264" s="30" t="s">
        <v>304</v>
      </c>
      <c r="F264" s="36">
        <v>3000</v>
      </c>
      <c r="G264" s="23" t="s">
        <v>128</v>
      </c>
      <c r="H264" s="33">
        <f t="shared" si="12"/>
        <v>137</v>
      </c>
      <c r="I264" s="34">
        <v>22</v>
      </c>
    </row>
    <row r="265" spans="1:10">
      <c r="A265" s="31" t="s">
        <v>305</v>
      </c>
      <c r="B265" s="30" t="s">
        <v>304</v>
      </c>
      <c r="F265" s="36">
        <v>3000</v>
      </c>
      <c r="G265" s="23" t="s">
        <v>128</v>
      </c>
      <c r="H265" s="33">
        <f t="shared" si="12"/>
        <v>159</v>
      </c>
      <c r="I265" s="34">
        <v>22</v>
      </c>
    </row>
    <row r="266" spans="1:10">
      <c r="A266" s="31" t="s">
        <v>306</v>
      </c>
      <c r="B266" s="30" t="s">
        <v>304</v>
      </c>
      <c r="F266" s="36">
        <v>3000</v>
      </c>
      <c r="G266" s="23" t="s">
        <v>128</v>
      </c>
      <c r="H266" s="33">
        <f t="shared" si="12"/>
        <v>181</v>
      </c>
      <c r="I266" s="34">
        <v>22</v>
      </c>
    </row>
    <row r="267" spans="1:10">
      <c r="A267" s="31" t="s">
        <v>307</v>
      </c>
      <c r="F267" s="36">
        <v>3000</v>
      </c>
      <c r="G267" s="23" t="s">
        <v>128</v>
      </c>
      <c r="H267" s="33">
        <f t="shared" si="12"/>
        <v>203</v>
      </c>
      <c r="I267" s="34">
        <v>22</v>
      </c>
    </row>
    <row r="268" spans="1:10">
      <c r="A268" s="31" t="s">
        <v>308</v>
      </c>
      <c r="F268" s="36">
        <v>3000</v>
      </c>
      <c r="G268" s="23" t="s">
        <v>128</v>
      </c>
      <c r="H268" s="33">
        <f t="shared" si="12"/>
        <v>225</v>
      </c>
      <c r="I268" s="34">
        <v>22</v>
      </c>
    </row>
    <row r="269" spans="1:10">
      <c r="A269" s="31" t="s">
        <v>309</v>
      </c>
      <c r="F269" s="36">
        <v>3000</v>
      </c>
      <c r="G269" s="23" t="s">
        <v>128</v>
      </c>
      <c r="H269" s="33">
        <f t="shared" si="12"/>
        <v>247</v>
      </c>
      <c r="I269" s="34">
        <v>22</v>
      </c>
    </row>
    <row r="270" spans="1:10">
      <c r="A270" s="31" t="s">
        <v>310</v>
      </c>
      <c r="F270" s="36">
        <v>3000</v>
      </c>
      <c r="G270" s="23" t="s">
        <v>124</v>
      </c>
      <c r="H270" s="33">
        <f t="shared" si="12"/>
        <v>269</v>
      </c>
      <c r="I270" s="34">
        <v>15</v>
      </c>
    </row>
    <row r="271" spans="1:10">
      <c r="A271" s="31" t="s">
        <v>311</v>
      </c>
      <c r="F271" s="36">
        <v>3000</v>
      </c>
      <c r="G271" s="23" t="s">
        <v>106</v>
      </c>
      <c r="H271" s="33">
        <f t="shared" si="12"/>
        <v>284</v>
      </c>
      <c r="I271" s="34">
        <v>30</v>
      </c>
    </row>
    <row r="272" spans="1:10">
      <c r="A272" s="31" t="s">
        <v>203</v>
      </c>
      <c r="F272" s="36">
        <v>3000</v>
      </c>
      <c r="G272" s="23" t="s">
        <v>106</v>
      </c>
      <c r="H272" s="33">
        <f t="shared" si="12"/>
        <v>314</v>
      </c>
      <c r="I272" s="34">
        <v>30</v>
      </c>
    </row>
    <row r="273" spans="1:10">
      <c r="A273" s="31" t="s">
        <v>312</v>
      </c>
      <c r="F273" s="36">
        <v>3000</v>
      </c>
      <c r="G273" s="23" t="s">
        <v>106</v>
      </c>
      <c r="H273" s="33">
        <f t="shared" si="12"/>
        <v>344</v>
      </c>
      <c r="I273" s="34">
        <v>30</v>
      </c>
    </row>
    <row r="274" spans="1:10">
      <c r="A274" s="31" t="s">
        <v>313</v>
      </c>
      <c r="F274" s="36">
        <v>3000</v>
      </c>
      <c r="G274" s="23" t="s">
        <v>106</v>
      </c>
      <c r="H274" s="33">
        <f t="shared" si="12"/>
        <v>374</v>
      </c>
      <c r="I274" s="34">
        <v>30</v>
      </c>
    </row>
    <row r="275" spans="1:10">
      <c r="A275" s="31" t="s">
        <v>314</v>
      </c>
      <c r="F275" s="36">
        <v>3000</v>
      </c>
      <c r="G275" s="23" t="s">
        <v>106</v>
      </c>
      <c r="H275" s="33">
        <f t="shared" si="12"/>
        <v>404</v>
      </c>
      <c r="I275" s="34">
        <v>30</v>
      </c>
    </row>
    <row r="276" spans="1:10">
      <c r="A276" s="31" t="s">
        <v>315</v>
      </c>
      <c r="F276" s="36">
        <v>3000</v>
      </c>
      <c r="G276" s="23" t="s">
        <v>106</v>
      </c>
      <c r="H276" s="33">
        <f t="shared" si="12"/>
        <v>434</v>
      </c>
      <c r="I276" s="34">
        <v>1</v>
      </c>
    </row>
    <row r="277" spans="1:10">
      <c r="A277" s="31" t="s">
        <v>316</v>
      </c>
      <c r="F277" s="36">
        <v>3000</v>
      </c>
      <c r="G277" s="23" t="s">
        <v>106</v>
      </c>
      <c r="H277" s="33">
        <f t="shared" si="12"/>
        <v>435</v>
      </c>
      <c r="I277" s="34">
        <v>50</v>
      </c>
    </row>
    <row r="278" spans="1:10">
      <c r="A278" s="31" t="s">
        <v>317</v>
      </c>
      <c r="F278" s="36">
        <v>3000</v>
      </c>
      <c r="G278" s="23" t="s">
        <v>106</v>
      </c>
      <c r="H278" s="33">
        <f t="shared" si="12"/>
        <v>485</v>
      </c>
      <c r="I278" s="34">
        <v>50</v>
      </c>
    </row>
    <row r="279" spans="1:10">
      <c r="A279" s="31" t="s">
        <v>318</v>
      </c>
      <c r="F279" s="36">
        <v>3000</v>
      </c>
      <c r="G279" s="23" t="s">
        <v>128</v>
      </c>
      <c r="H279" s="33">
        <f t="shared" si="12"/>
        <v>535</v>
      </c>
      <c r="I279" s="34">
        <v>22</v>
      </c>
    </row>
    <row r="280" spans="1:10">
      <c r="A280" s="31" t="s">
        <v>319</v>
      </c>
      <c r="F280" s="36">
        <v>3000</v>
      </c>
      <c r="G280" s="23" t="s">
        <v>128</v>
      </c>
      <c r="H280" s="33">
        <f t="shared" si="12"/>
        <v>557</v>
      </c>
      <c r="I280" s="34">
        <v>22</v>
      </c>
    </row>
    <row r="281" spans="1:10">
      <c r="A281" s="31" t="s">
        <v>320</v>
      </c>
      <c r="F281" s="36">
        <v>3000</v>
      </c>
      <c r="G281" s="23" t="s">
        <v>106</v>
      </c>
      <c r="H281" s="33">
        <f t="shared" si="12"/>
        <v>579</v>
      </c>
      <c r="I281" s="34">
        <v>50</v>
      </c>
    </row>
    <row r="282" spans="1:10">
      <c r="A282" s="31" t="s">
        <v>321</v>
      </c>
      <c r="F282" s="36">
        <v>3000</v>
      </c>
      <c r="G282" s="23" t="s">
        <v>106</v>
      </c>
      <c r="H282" s="33">
        <f t="shared" si="12"/>
        <v>629</v>
      </c>
      <c r="I282" s="34">
        <v>240</v>
      </c>
    </row>
    <row r="284" spans="1:10">
      <c r="A284" s="17" t="s">
        <v>322</v>
      </c>
      <c r="B284" s="22"/>
      <c r="C284" s="48"/>
      <c r="D284" s="18"/>
      <c r="E284" s="18"/>
      <c r="F284" s="19"/>
      <c r="G284" s="18"/>
      <c r="H284" s="20"/>
      <c r="I284" s="21"/>
      <c r="J284" s="22"/>
    </row>
    <row r="285" spans="1:10">
      <c r="A285" s="24" t="s">
        <v>93</v>
      </c>
      <c r="B285" s="46" t="s">
        <v>94</v>
      </c>
      <c r="C285" s="49"/>
      <c r="D285" s="25"/>
      <c r="E285" s="25"/>
      <c r="F285" s="35">
        <v>4000</v>
      </c>
      <c r="G285" s="25" t="s">
        <v>95</v>
      </c>
      <c r="H285" s="28">
        <v>1</v>
      </c>
      <c r="I285" s="29">
        <v>25</v>
      </c>
      <c r="J285" s="30" t="s">
        <v>82</v>
      </c>
    </row>
    <row r="286" spans="1:10">
      <c r="A286" s="24" t="s">
        <v>96</v>
      </c>
      <c r="B286" s="46" t="s">
        <v>97</v>
      </c>
      <c r="C286" s="49"/>
      <c r="D286" s="25"/>
      <c r="E286" s="25"/>
      <c r="F286" s="35">
        <v>4000</v>
      </c>
      <c r="G286" s="25" t="s">
        <v>95</v>
      </c>
      <c r="H286" s="28">
        <f t="shared" ref="H286:H315" si="13">H285+I285</f>
        <v>26</v>
      </c>
      <c r="I286" s="29">
        <v>22</v>
      </c>
      <c r="J286" s="30" t="s">
        <v>82</v>
      </c>
    </row>
    <row r="287" spans="1:10">
      <c r="A287" s="24" t="s">
        <v>98</v>
      </c>
      <c r="B287" s="46" t="s">
        <v>82</v>
      </c>
      <c r="C287" s="49"/>
      <c r="D287" s="25"/>
      <c r="E287" s="25"/>
      <c r="F287" s="35">
        <v>4000</v>
      </c>
      <c r="G287" s="25" t="s">
        <v>95</v>
      </c>
      <c r="H287" s="28">
        <f t="shared" si="13"/>
        <v>48</v>
      </c>
      <c r="I287" s="29">
        <v>22</v>
      </c>
      <c r="J287" s="30" t="s">
        <v>82</v>
      </c>
    </row>
    <row r="288" spans="1:10">
      <c r="A288" s="24" t="s">
        <v>99</v>
      </c>
      <c r="B288" s="46" t="s">
        <v>272</v>
      </c>
      <c r="C288" s="49"/>
      <c r="D288" s="25"/>
      <c r="E288" s="25"/>
      <c r="F288" s="35">
        <v>4000</v>
      </c>
      <c r="G288" s="25" t="s">
        <v>95</v>
      </c>
      <c r="H288" s="28">
        <f t="shared" si="13"/>
        <v>70</v>
      </c>
      <c r="I288" s="29">
        <v>22</v>
      </c>
      <c r="J288" s="30" t="s">
        <v>273</v>
      </c>
    </row>
    <row r="289" spans="1:10">
      <c r="A289" s="24" t="s">
        <v>100</v>
      </c>
      <c r="B289" s="46"/>
      <c r="C289" s="49">
        <v>4000</v>
      </c>
      <c r="D289" s="25"/>
      <c r="E289" s="25"/>
      <c r="F289" s="35">
        <v>4000</v>
      </c>
      <c r="G289" s="25" t="s">
        <v>95</v>
      </c>
      <c r="H289" s="28">
        <f t="shared" si="13"/>
        <v>92</v>
      </c>
      <c r="I289" s="29">
        <v>4</v>
      </c>
    </row>
    <row r="290" spans="1:10">
      <c r="A290" s="24" t="s">
        <v>101</v>
      </c>
      <c r="B290" s="46"/>
      <c r="C290" s="49" t="s">
        <v>323</v>
      </c>
      <c r="D290" s="25"/>
      <c r="E290" s="25"/>
      <c r="F290" s="35">
        <v>4000</v>
      </c>
      <c r="G290" s="25" t="s">
        <v>95</v>
      </c>
      <c r="H290" s="28">
        <f t="shared" si="13"/>
        <v>96</v>
      </c>
      <c r="I290" s="29">
        <v>2</v>
      </c>
    </row>
    <row r="291" spans="1:10">
      <c r="A291" s="24" t="s">
        <v>103</v>
      </c>
      <c r="B291" s="46"/>
      <c r="C291" s="49" t="s">
        <v>324</v>
      </c>
      <c r="D291" s="25"/>
      <c r="E291" s="25"/>
      <c r="F291" s="35">
        <v>4000</v>
      </c>
      <c r="G291" s="25" t="s">
        <v>95</v>
      </c>
      <c r="H291" s="28">
        <f t="shared" si="13"/>
        <v>98</v>
      </c>
      <c r="I291" s="29">
        <v>3</v>
      </c>
    </row>
    <row r="292" spans="1:10">
      <c r="A292" s="31" t="s">
        <v>325</v>
      </c>
      <c r="F292" s="36">
        <v>4000</v>
      </c>
      <c r="G292" s="23" t="s">
        <v>106</v>
      </c>
      <c r="H292" s="33">
        <f t="shared" si="13"/>
        <v>101</v>
      </c>
      <c r="I292" s="34">
        <v>1</v>
      </c>
    </row>
    <row r="293" spans="1:10">
      <c r="A293" s="31" t="s">
        <v>326</v>
      </c>
      <c r="F293" s="36">
        <v>4000</v>
      </c>
      <c r="G293" s="23" t="s">
        <v>106</v>
      </c>
      <c r="H293" s="33">
        <f t="shared" si="13"/>
        <v>102</v>
      </c>
      <c r="I293" s="34">
        <v>1</v>
      </c>
    </row>
    <row r="294" spans="1:10">
      <c r="A294" s="31" t="s">
        <v>327</v>
      </c>
      <c r="F294" s="36">
        <v>4000</v>
      </c>
      <c r="G294" s="23" t="s">
        <v>128</v>
      </c>
      <c r="H294" s="33">
        <f t="shared" si="13"/>
        <v>103</v>
      </c>
      <c r="I294" s="34">
        <v>22</v>
      </c>
      <c r="J294" s="30" t="s">
        <v>82</v>
      </c>
    </row>
    <row r="295" spans="1:10">
      <c r="A295" s="31" t="s">
        <v>328</v>
      </c>
      <c r="F295" s="36">
        <v>4000</v>
      </c>
      <c r="G295" s="23" t="s">
        <v>106</v>
      </c>
      <c r="H295" s="33">
        <f t="shared" si="13"/>
        <v>125</v>
      </c>
      <c r="I295" s="34">
        <v>10</v>
      </c>
      <c r="J295" s="30" t="s">
        <v>329</v>
      </c>
    </row>
    <row r="296" spans="1:10">
      <c r="A296" s="31" t="s">
        <v>330</v>
      </c>
      <c r="F296" s="36">
        <v>4000</v>
      </c>
      <c r="G296" s="23" t="s">
        <v>106</v>
      </c>
      <c r="H296" s="33">
        <f t="shared" si="13"/>
        <v>135</v>
      </c>
      <c r="I296" s="34">
        <v>50</v>
      </c>
    </row>
    <row r="297" spans="1:10" ht="26.4">
      <c r="A297" s="31" t="s">
        <v>331</v>
      </c>
      <c r="F297" s="36">
        <v>4000</v>
      </c>
      <c r="G297" s="23" t="s">
        <v>124</v>
      </c>
      <c r="H297" s="33">
        <f t="shared" si="13"/>
        <v>185</v>
      </c>
      <c r="I297" s="34">
        <v>15</v>
      </c>
      <c r="J297" s="30" t="s">
        <v>332</v>
      </c>
    </row>
    <row r="298" spans="1:10">
      <c r="A298" s="31" t="s">
        <v>333</v>
      </c>
      <c r="F298" s="36">
        <v>4000</v>
      </c>
      <c r="G298" s="23" t="s">
        <v>124</v>
      </c>
      <c r="H298" s="33">
        <f t="shared" si="13"/>
        <v>200</v>
      </c>
      <c r="I298" s="34">
        <v>15</v>
      </c>
    </row>
    <row r="299" spans="1:10">
      <c r="A299" s="31" t="s">
        <v>334</v>
      </c>
      <c r="F299" s="36">
        <v>4000</v>
      </c>
      <c r="G299" s="23" t="s">
        <v>124</v>
      </c>
      <c r="H299" s="33">
        <f t="shared" si="13"/>
        <v>215</v>
      </c>
      <c r="I299" s="34">
        <v>15</v>
      </c>
    </row>
    <row r="300" spans="1:10">
      <c r="A300" s="31" t="s">
        <v>335</v>
      </c>
      <c r="F300" s="36">
        <v>4000</v>
      </c>
      <c r="G300" s="23" t="s">
        <v>124</v>
      </c>
      <c r="H300" s="33">
        <f t="shared" si="13"/>
        <v>230</v>
      </c>
      <c r="I300" s="34">
        <v>15</v>
      </c>
      <c r="J300" s="30" t="s">
        <v>82</v>
      </c>
    </row>
    <row r="301" spans="1:10">
      <c r="A301" s="31" t="s">
        <v>336</v>
      </c>
      <c r="B301" s="30" t="s">
        <v>299</v>
      </c>
      <c r="F301" s="36">
        <v>4000</v>
      </c>
      <c r="G301" s="23" t="s">
        <v>128</v>
      </c>
      <c r="H301" s="33">
        <f t="shared" si="13"/>
        <v>245</v>
      </c>
      <c r="I301" s="34">
        <v>22</v>
      </c>
      <c r="J301" s="30" t="s">
        <v>337</v>
      </c>
    </row>
    <row r="302" spans="1:10">
      <c r="A302" s="31" t="s">
        <v>338</v>
      </c>
      <c r="B302" s="30" t="s">
        <v>301</v>
      </c>
      <c r="F302" s="36">
        <v>4000</v>
      </c>
      <c r="G302" s="23" t="s">
        <v>106</v>
      </c>
      <c r="H302" s="33">
        <f t="shared" si="13"/>
        <v>267</v>
      </c>
      <c r="I302" s="34">
        <v>3</v>
      </c>
      <c r="J302" s="30" t="s">
        <v>339</v>
      </c>
    </row>
    <row r="303" spans="1:10">
      <c r="A303" s="31" t="s">
        <v>340</v>
      </c>
      <c r="F303" s="36">
        <v>4000</v>
      </c>
      <c r="G303" s="23" t="s">
        <v>106</v>
      </c>
      <c r="H303" s="33">
        <f t="shared" si="13"/>
        <v>270</v>
      </c>
      <c r="I303" s="34">
        <v>10</v>
      </c>
    </row>
    <row r="304" spans="1:10">
      <c r="A304" s="31" t="s">
        <v>341</v>
      </c>
      <c r="F304" s="36">
        <v>4000</v>
      </c>
      <c r="G304" s="23" t="s">
        <v>128</v>
      </c>
      <c r="H304" s="33">
        <f t="shared" si="13"/>
        <v>280</v>
      </c>
      <c r="I304" s="34">
        <v>15</v>
      </c>
      <c r="J304" s="30" t="s">
        <v>82</v>
      </c>
    </row>
    <row r="305" spans="1:10">
      <c r="A305" s="31" t="s">
        <v>342</v>
      </c>
      <c r="F305" s="36">
        <v>4000</v>
      </c>
      <c r="G305" s="23" t="s">
        <v>106</v>
      </c>
      <c r="H305" s="33">
        <f t="shared" si="13"/>
        <v>295</v>
      </c>
      <c r="I305" s="34">
        <v>3</v>
      </c>
    </row>
    <row r="306" spans="1:10">
      <c r="A306" s="31" t="s">
        <v>343</v>
      </c>
      <c r="F306" s="36">
        <v>4000</v>
      </c>
      <c r="G306" s="23" t="s">
        <v>106</v>
      </c>
      <c r="H306" s="33">
        <f t="shared" si="13"/>
        <v>298</v>
      </c>
      <c r="I306" s="34">
        <v>10</v>
      </c>
      <c r="J306" s="30" t="s">
        <v>82</v>
      </c>
    </row>
    <row r="307" spans="1:10">
      <c r="A307" s="31" t="s">
        <v>344</v>
      </c>
      <c r="F307" s="36">
        <v>4000</v>
      </c>
      <c r="G307" s="23" t="s">
        <v>128</v>
      </c>
      <c r="H307" s="33">
        <f t="shared" si="13"/>
        <v>308</v>
      </c>
      <c r="I307" s="34">
        <v>22</v>
      </c>
    </row>
    <row r="308" spans="1:10">
      <c r="A308" s="31" t="s">
        <v>345</v>
      </c>
      <c r="F308" s="36">
        <v>4000</v>
      </c>
      <c r="G308" s="23" t="s">
        <v>128</v>
      </c>
      <c r="H308" s="33">
        <f t="shared" si="13"/>
        <v>330</v>
      </c>
      <c r="I308" s="34">
        <v>22</v>
      </c>
    </row>
    <row r="309" spans="1:10">
      <c r="A309" s="31" t="s">
        <v>346</v>
      </c>
      <c r="F309" s="36">
        <v>4000</v>
      </c>
      <c r="G309" s="23" t="s">
        <v>106</v>
      </c>
      <c r="H309" s="33">
        <f t="shared" si="13"/>
        <v>352</v>
      </c>
      <c r="I309" s="34">
        <v>30</v>
      </c>
    </row>
    <row r="310" spans="1:10">
      <c r="A310" s="31" t="s">
        <v>347</v>
      </c>
      <c r="F310" s="36">
        <v>4000</v>
      </c>
      <c r="G310" s="23" t="s">
        <v>106</v>
      </c>
      <c r="H310" s="33">
        <f t="shared" si="13"/>
        <v>382</v>
      </c>
      <c r="I310" s="34">
        <v>30</v>
      </c>
    </row>
    <row r="311" spans="1:10">
      <c r="A311" s="31" t="s">
        <v>348</v>
      </c>
      <c r="F311" s="36">
        <v>4000</v>
      </c>
      <c r="G311" s="23" t="s">
        <v>106</v>
      </c>
      <c r="H311" s="33">
        <f t="shared" si="13"/>
        <v>412</v>
      </c>
      <c r="I311" s="34">
        <v>30</v>
      </c>
    </row>
    <row r="312" spans="1:10">
      <c r="A312" s="31" t="s">
        <v>349</v>
      </c>
      <c r="F312" s="36">
        <v>4000</v>
      </c>
      <c r="G312" s="23" t="s">
        <v>106</v>
      </c>
      <c r="H312" s="33">
        <f t="shared" si="13"/>
        <v>442</v>
      </c>
      <c r="I312" s="34">
        <v>50</v>
      </c>
    </row>
    <row r="313" spans="1:10">
      <c r="A313" s="31" t="s">
        <v>350</v>
      </c>
      <c r="F313" s="36">
        <v>4000</v>
      </c>
      <c r="G313" s="23" t="s">
        <v>106</v>
      </c>
      <c r="H313" s="33">
        <f t="shared" si="13"/>
        <v>492</v>
      </c>
      <c r="I313" s="34">
        <v>30</v>
      </c>
    </row>
    <row r="314" spans="1:10">
      <c r="A314" s="31" t="s">
        <v>351</v>
      </c>
      <c r="F314" s="36">
        <v>4000</v>
      </c>
      <c r="G314" s="23" t="s">
        <v>106</v>
      </c>
      <c r="H314" s="33">
        <f t="shared" si="13"/>
        <v>522</v>
      </c>
      <c r="I314" s="34">
        <v>10</v>
      </c>
    </row>
    <row r="315" spans="1:10">
      <c r="A315" s="31" t="s">
        <v>352</v>
      </c>
      <c r="F315" s="36">
        <v>4000</v>
      </c>
      <c r="G315" s="23" t="s">
        <v>106</v>
      </c>
      <c r="H315" s="33">
        <f t="shared" si="13"/>
        <v>532</v>
      </c>
      <c r="I315" s="34">
        <v>5</v>
      </c>
    </row>
    <row r="316" spans="1:10">
      <c r="A316" s="31" t="s">
        <v>353</v>
      </c>
      <c r="F316" s="36">
        <v>4000</v>
      </c>
      <c r="G316" s="23" t="s">
        <v>128</v>
      </c>
      <c r="H316" s="33">
        <v>537</v>
      </c>
      <c r="I316" s="34">
        <v>22</v>
      </c>
    </row>
    <row r="319" spans="1:10">
      <c r="A319" s="17" t="s">
        <v>354</v>
      </c>
      <c r="B319" s="22"/>
      <c r="C319" s="48"/>
      <c r="D319" s="18"/>
      <c r="E319" s="18"/>
      <c r="F319" s="19"/>
      <c r="G319" s="18"/>
      <c r="H319" s="20"/>
      <c r="I319" s="21"/>
      <c r="J319" s="22"/>
    </row>
    <row r="320" spans="1:10">
      <c r="A320" s="24" t="s">
        <v>93</v>
      </c>
      <c r="B320" s="46" t="s">
        <v>94</v>
      </c>
      <c r="C320" s="49"/>
      <c r="D320" s="25"/>
      <c r="E320" s="25"/>
      <c r="F320" s="35">
        <v>4800</v>
      </c>
      <c r="G320" s="25" t="s">
        <v>95</v>
      </c>
      <c r="H320" s="28">
        <v>1</v>
      </c>
      <c r="I320" s="29">
        <v>25</v>
      </c>
      <c r="J320" s="30" t="s">
        <v>82</v>
      </c>
    </row>
    <row r="321" spans="1:10">
      <c r="A321" s="24" t="s">
        <v>96</v>
      </c>
      <c r="B321" s="46" t="s">
        <v>97</v>
      </c>
      <c r="C321" s="49"/>
      <c r="D321" s="25"/>
      <c r="E321" s="25"/>
      <c r="F321" s="35">
        <v>4800</v>
      </c>
      <c r="G321" s="25" t="s">
        <v>95</v>
      </c>
      <c r="H321" s="28">
        <f t="shared" ref="H321:H343" si="14">H320+I320</f>
        <v>26</v>
      </c>
      <c r="I321" s="29">
        <v>22</v>
      </c>
      <c r="J321" s="30" t="s">
        <v>82</v>
      </c>
    </row>
    <row r="322" spans="1:10">
      <c r="A322" s="24" t="s">
        <v>98</v>
      </c>
      <c r="B322" s="46"/>
      <c r="C322" s="49"/>
      <c r="D322" s="25"/>
      <c r="E322" s="25"/>
      <c r="F322" s="35">
        <v>4800</v>
      </c>
      <c r="G322" s="25" t="s">
        <v>95</v>
      </c>
      <c r="H322" s="28">
        <f t="shared" si="14"/>
        <v>48</v>
      </c>
      <c r="I322" s="29">
        <v>22</v>
      </c>
    </row>
    <row r="323" spans="1:10">
      <c r="A323" s="24" t="s">
        <v>99</v>
      </c>
      <c r="B323" s="46"/>
      <c r="C323" s="49"/>
      <c r="D323" s="25"/>
      <c r="E323" s="25"/>
      <c r="F323" s="35">
        <v>4800</v>
      </c>
      <c r="G323" s="25" t="s">
        <v>95</v>
      </c>
      <c r="H323" s="28">
        <f t="shared" si="14"/>
        <v>70</v>
      </c>
      <c r="I323" s="29">
        <v>22</v>
      </c>
    </row>
    <row r="324" spans="1:10">
      <c r="A324" s="24" t="s">
        <v>100</v>
      </c>
      <c r="B324" s="46"/>
      <c r="C324" s="49">
        <v>4800</v>
      </c>
      <c r="D324" s="25"/>
      <c r="E324" s="25"/>
      <c r="F324" s="35">
        <v>4800</v>
      </c>
      <c r="G324" s="25" t="s">
        <v>95</v>
      </c>
      <c r="H324" s="28">
        <f t="shared" si="14"/>
        <v>92</v>
      </c>
      <c r="I324" s="29">
        <v>4</v>
      </c>
    </row>
    <row r="325" spans="1:10">
      <c r="A325" s="24" t="s">
        <v>101</v>
      </c>
      <c r="B325" s="46"/>
      <c r="C325" s="49" t="s">
        <v>229</v>
      </c>
      <c r="D325" s="25"/>
      <c r="E325" s="25"/>
      <c r="F325" s="35">
        <v>4800</v>
      </c>
      <c r="G325" s="25" t="s">
        <v>95</v>
      </c>
      <c r="H325" s="28">
        <f t="shared" si="14"/>
        <v>96</v>
      </c>
      <c r="I325" s="29">
        <v>2</v>
      </c>
    </row>
    <row r="326" spans="1:10">
      <c r="A326" s="24" t="s">
        <v>103</v>
      </c>
      <c r="B326" s="46"/>
      <c r="C326" s="49" t="s">
        <v>251</v>
      </c>
      <c r="D326" s="25"/>
      <c r="E326" s="25"/>
      <c r="F326" s="35">
        <v>4800</v>
      </c>
      <c r="G326" s="25" t="s">
        <v>95</v>
      </c>
      <c r="H326" s="28">
        <f t="shared" si="14"/>
        <v>98</v>
      </c>
      <c r="I326" s="29">
        <v>3</v>
      </c>
    </row>
    <row r="327" spans="1:10">
      <c r="A327" s="31" t="s">
        <v>252</v>
      </c>
      <c r="F327" s="36">
        <v>4800</v>
      </c>
      <c r="G327" s="23" t="s">
        <v>106</v>
      </c>
      <c r="H327" s="33">
        <f t="shared" si="14"/>
        <v>101</v>
      </c>
      <c r="I327" s="34">
        <v>60</v>
      </c>
    </row>
    <row r="328" spans="1:10">
      <c r="A328" s="31" t="s">
        <v>253</v>
      </c>
      <c r="B328" s="30" t="s">
        <v>254</v>
      </c>
      <c r="F328" s="36">
        <v>4800</v>
      </c>
      <c r="G328" s="23" t="s">
        <v>106</v>
      </c>
      <c r="H328" s="33">
        <f t="shared" si="14"/>
        <v>161</v>
      </c>
      <c r="I328" s="34">
        <v>35</v>
      </c>
      <c r="J328" s="30" t="s">
        <v>444</v>
      </c>
    </row>
    <row r="329" spans="1:10">
      <c r="A329" s="31" t="s">
        <v>255</v>
      </c>
      <c r="B329" s="30" t="s">
        <v>82</v>
      </c>
      <c r="F329" s="36">
        <v>4800</v>
      </c>
      <c r="G329" s="23" t="s">
        <v>106</v>
      </c>
      <c r="H329" s="33">
        <f t="shared" si="14"/>
        <v>196</v>
      </c>
      <c r="I329" s="34">
        <v>60</v>
      </c>
      <c r="J329" s="30" t="s">
        <v>82</v>
      </c>
    </row>
    <row r="330" spans="1:10">
      <c r="A330" s="31" t="s">
        <v>256</v>
      </c>
      <c r="B330" s="30" t="s">
        <v>82</v>
      </c>
      <c r="F330" s="36">
        <v>4800</v>
      </c>
      <c r="G330" s="23" t="s">
        <v>106</v>
      </c>
      <c r="H330" s="33">
        <f t="shared" si="14"/>
        <v>256</v>
      </c>
      <c r="I330" s="34">
        <v>35</v>
      </c>
      <c r="J330" s="30" t="s">
        <v>82</v>
      </c>
    </row>
    <row r="331" spans="1:10">
      <c r="A331" s="31" t="s">
        <v>257</v>
      </c>
      <c r="B331" s="30" t="s">
        <v>82</v>
      </c>
      <c r="F331" s="36">
        <v>4800</v>
      </c>
      <c r="G331" s="23" t="s">
        <v>106</v>
      </c>
      <c r="H331" s="33">
        <f t="shared" si="14"/>
        <v>291</v>
      </c>
      <c r="I331" s="34">
        <v>35</v>
      </c>
    </row>
    <row r="332" spans="1:10">
      <c r="A332" s="31" t="s">
        <v>258</v>
      </c>
      <c r="F332" s="36">
        <v>4800</v>
      </c>
      <c r="G332" s="23" t="s">
        <v>106</v>
      </c>
      <c r="H332" s="33">
        <f t="shared" si="14"/>
        <v>326</v>
      </c>
      <c r="I332" s="34">
        <v>35</v>
      </c>
    </row>
    <row r="333" spans="1:10">
      <c r="A333" s="31" t="s">
        <v>259</v>
      </c>
      <c r="F333" s="36">
        <v>4800</v>
      </c>
      <c r="G333" s="23" t="s">
        <v>106</v>
      </c>
      <c r="H333" s="33">
        <f t="shared" si="14"/>
        <v>361</v>
      </c>
      <c r="I333" s="34">
        <v>35</v>
      </c>
    </row>
    <row r="334" spans="1:10">
      <c r="A334" s="31" t="s">
        <v>260</v>
      </c>
      <c r="B334" s="30" t="s">
        <v>82</v>
      </c>
      <c r="F334" s="36">
        <v>4800</v>
      </c>
      <c r="G334" s="23" t="s">
        <v>106</v>
      </c>
      <c r="H334" s="33">
        <f t="shared" si="14"/>
        <v>396</v>
      </c>
      <c r="I334" s="34">
        <v>30</v>
      </c>
      <c r="J334" s="30" t="s">
        <v>82</v>
      </c>
    </row>
    <row r="335" spans="1:10">
      <c r="A335" s="31" t="s">
        <v>261</v>
      </c>
      <c r="B335" s="30" t="s">
        <v>82</v>
      </c>
      <c r="F335" s="36">
        <v>4800</v>
      </c>
      <c r="G335" s="23" t="s">
        <v>106</v>
      </c>
      <c r="H335" s="33">
        <f t="shared" si="14"/>
        <v>426</v>
      </c>
      <c r="I335" s="34">
        <v>15</v>
      </c>
      <c r="J335" s="30" t="s">
        <v>82</v>
      </c>
    </row>
    <row r="336" spans="1:10">
      <c r="A336" s="31" t="s">
        <v>262</v>
      </c>
      <c r="B336" s="30" t="s">
        <v>82</v>
      </c>
      <c r="F336" s="36">
        <v>4800</v>
      </c>
      <c r="G336" s="23" t="s">
        <v>106</v>
      </c>
      <c r="H336" s="33">
        <f t="shared" si="14"/>
        <v>441</v>
      </c>
      <c r="I336" s="34">
        <v>20</v>
      </c>
    </row>
    <row r="337" spans="1:10">
      <c r="A337" s="31" t="s">
        <v>263</v>
      </c>
      <c r="F337" s="36">
        <v>4800</v>
      </c>
      <c r="G337" s="23" t="s">
        <v>106</v>
      </c>
      <c r="H337" s="33">
        <f t="shared" si="14"/>
        <v>461</v>
      </c>
      <c r="I337" s="34">
        <v>3</v>
      </c>
    </row>
    <row r="338" spans="1:10">
      <c r="A338" s="31" t="s">
        <v>264</v>
      </c>
      <c r="B338" s="30" t="s">
        <v>82</v>
      </c>
      <c r="F338" s="36">
        <v>4800</v>
      </c>
      <c r="G338" s="23" t="s">
        <v>106</v>
      </c>
      <c r="H338" s="33">
        <f t="shared" si="14"/>
        <v>464</v>
      </c>
      <c r="I338" s="34">
        <v>20</v>
      </c>
      <c r="J338" s="30" t="s">
        <v>82</v>
      </c>
    </row>
    <row r="339" spans="1:10">
      <c r="A339" s="31" t="s">
        <v>265</v>
      </c>
      <c r="F339" s="36">
        <v>4800</v>
      </c>
      <c r="G339" s="23" t="s">
        <v>106</v>
      </c>
      <c r="H339" s="33">
        <f t="shared" si="14"/>
        <v>484</v>
      </c>
      <c r="I339" s="34">
        <v>10</v>
      </c>
    </row>
    <row r="340" spans="1:10">
      <c r="A340" s="31" t="s">
        <v>266</v>
      </c>
      <c r="F340" s="36">
        <v>4800</v>
      </c>
      <c r="G340" s="23" t="s">
        <v>106</v>
      </c>
      <c r="H340" s="33">
        <f t="shared" si="14"/>
        <v>494</v>
      </c>
      <c r="I340" s="34">
        <v>20</v>
      </c>
    </row>
    <row r="341" spans="1:10">
      <c r="A341" s="31" t="s">
        <v>267</v>
      </c>
      <c r="F341" s="36">
        <v>4800</v>
      </c>
      <c r="G341" s="23" t="s">
        <v>106</v>
      </c>
      <c r="H341" s="33">
        <f t="shared" si="14"/>
        <v>514</v>
      </c>
      <c r="I341" s="34">
        <v>10</v>
      </c>
    </row>
    <row r="342" spans="1:10">
      <c r="A342" s="31" t="s">
        <v>268</v>
      </c>
      <c r="F342" s="36">
        <v>4800</v>
      </c>
      <c r="G342" s="23" t="s">
        <v>106</v>
      </c>
      <c r="H342" s="33">
        <f t="shared" si="14"/>
        <v>524</v>
      </c>
      <c r="I342" s="34">
        <v>25</v>
      </c>
    </row>
    <row r="343" spans="1:10">
      <c r="A343" s="31" t="s">
        <v>269</v>
      </c>
      <c r="F343" s="36">
        <v>4800</v>
      </c>
      <c r="G343" s="23" t="s">
        <v>106</v>
      </c>
      <c r="H343" s="33">
        <f t="shared" si="14"/>
        <v>549</v>
      </c>
      <c r="I343" s="34">
        <v>30</v>
      </c>
    </row>
  </sheetData>
  <mergeCells count="2">
    <mergeCell ref="B1:D1"/>
    <mergeCell ref="E1:I1"/>
  </mergeCells>
  <phoneticPr fontId="0" type="noConversion"/>
  <printOptions horizontalCentered="1" gridLines="1"/>
  <pageMargins left="0.25" right="0.25" top="0.5" bottom="0.5" header="0.25" footer="0.25"/>
  <pageSetup scale="58" fitToHeight="100" orientation="portrait" r:id="rId1"/>
  <headerFooter alignWithMargins="0">
    <oddHeader>&amp;A</oddHeader>
    <oddFooter>&amp;L&amp;F   (&amp;A)&amp;RPage &amp;P of &amp;N    &amp;D &amp;T</oddFooter>
  </headerFooter>
  <rowBreaks count="9" manualBreakCount="9">
    <brk id="45" max="16383" man="1"/>
    <brk id="72" max="16383" man="1"/>
    <brk id="98" max="16383" man="1"/>
    <brk id="123" max="16383" man="1"/>
    <brk id="174" max="16383" man="1"/>
    <brk id="200" max="16383" man="1"/>
    <brk id="226" max="16383" man="1"/>
    <brk id="251" max="16383" man="1"/>
    <brk id="28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14"/>
  <sheetViews>
    <sheetView topLeftCell="B1" workbookViewId="0">
      <selection activeCell="K23" sqref="K23"/>
    </sheetView>
  </sheetViews>
  <sheetFormatPr defaultRowHeight="13.2"/>
  <sheetData>
    <row r="1" spans="1:1">
      <c r="A1" t="s">
        <v>355</v>
      </c>
    </row>
    <row r="2" spans="1:1">
      <c r="A2" t="s">
        <v>356</v>
      </c>
    </row>
    <row r="3" spans="1:1">
      <c r="A3" t="s">
        <v>357</v>
      </c>
    </row>
    <row r="4" spans="1:1">
      <c r="A4" t="s">
        <v>358</v>
      </c>
    </row>
    <row r="5" spans="1:1">
      <c r="A5" t="s">
        <v>359</v>
      </c>
    </row>
    <row r="6" spans="1:1">
      <c r="A6" t="s">
        <v>360</v>
      </c>
    </row>
    <row r="7" spans="1:1">
      <c r="A7" t="s">
        <v>361</v>
      </c>
    </row>
    <row r="8" spans="1:1">
      <c r="A8" t="s">
        <v>362</v>
      </c>
    </row>
    <row r="9" spans="1:1">
      <c r="A9" t="s">
        <v>363</v>
      </c>
    </row>
    <row r="10" spans="1:1">
      <c r="A10" t="s">
        <v>364</v>
      </c>
    </row>
    <row r="11" spans="1:1">
      <c r="A11" t="s">
        <v>365</v>
      </c>
    </row>
    <row r="12" spans="1:1">
      <c r="A12" t="s">
        <v>366</v>
      </c>
    </row>
    <row r="13" spans="1:1">
      <c r="A13" t="s">
        <v>367</v>
      </c>
    </row>
    <row r="14" spans="1:1">
      <c r="A14" t="s">
        <v>368</v>
      </c>
    </row>
  </sheetData>
  <pageMargins left="0.7" right="0.7" top="0.75" bottom="0.75" header="0.3" footer="0.3"/>
  <pageSetup scale="36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A012-7B9A-4AFB-8252-72584F78544F}">
  <dimension ref="A2:A31"/>
  <sheetViews>
    <sheetView workbookViewId="0">
      <selection activeCell="A2" sqref="A2:A31"/>
    </sheetView>
  </sheetViews>
  <sheetFormatPr defaultRowHeight="13.2"/>
  <sheetData>
    <row r="2" spans="1:1">
      <c r="A2" s="100" t="s">
        <v>454</v>
      </c>
    </row>
    <row r="3" spans="1:1">
      <c r="A3" s="100" t="s">
        <v>455</v>
      </c>
    </row>
    <row r="4" spans="1:1">
      <c r="A4" s="100" t="s">
        <v>456</v>
      </c>
    </row>
    <row r="5" spans="1:1">
      <c r="A5" s="100" t="s">
        <v>457</v>
      </c>
    </row>
    <row r="6" spans="1:1">
      <c r="A6" s="100" t="s">
        <v>458</v>
      </c>
    </row>
    <row r="7" spans="1:1">
      <c r="A7" s="100" t="s">
        <v>459</v>
      </c>
    </row>
    <row r="8" spans="1:1">
      <c r="A8" s="100" t="s">
        <v>460</v>
      </c>
    </row>
    <row r="9" spans="1:1">
      <c r="A9" s="100" t="s">
        <v>461</v>
      </c>
    </row>
    <row r="10" spans="1:1">
      <c r="A10" s="100" t="s">
        <v>462</v>
      </c>
    </row>
    <row r="11" spans="1:1">
      <c r="A11" s="100" t="s">
        <v>463</v>
      </c>
    </row>
    <row r="12" spans="1:1">
      <c r="A12" s="100" t="s">
        <v>464</v>
      </c>
    </row>
    <row r="13" spans="1:1">
      <c r="A13" s="100" t="s">
        <v>465</v>
      </c>
    </row>
    <row r="14" spans="1:1">
      <c r="A14" s="100" t="s">
        <v>466</v>
      </c>
    </row>
    <row r="15" spans="1:1">
      <c r="A15" s="100" t="s">
        <v>467</v>
      </c>
    </row>
    <row r="16" spans="1:1">
      <c r="A16" s="100" t="s">
        <v>468</v>
      </c>
    </row>
    <row r="17" spans="1:1">
      <c r="A17" s="100" t="s">
        <v>469</v>
      </c>
    </row>
    <row r="18" spans="1:1">
      <c r="A18" s="100" t="s">
        <v>470</v>
      </c>
    </row>
    <row r="19" spans="1:1">
      <c r="A19" s="100" t="s">
        <v>471</v>
      </c>
    </row>
    <row r="20" spans="1:1">
      <c r="A20" s="100" t="s">
        <v>472</v>
      </c>
    </row>
    <row r="21" spans="1:1">
      <c r="A21" s="100" t="s">
        <v>473</v>
      </c>
    </row>
    <row r="22" spans="1:1">
      <c r="A22" s="100" t="s">
        <v>474</v>
      </c>
    </row>
    <row r="23" spans="1:1">
      <c r="A23" s="100" t="s">
        <v>475</v>
      </c>
    </row>
    <row r="24" spans="1:1">
      <c r="A24" s="100" t="s">
        <v>476</v>
      </c>
    </row>
    <row r="25" spans="1:1">
      <c r="A25" s="100" t="s">
        <v>477</v>
      </c>
    </row>
    <row r="26" spans="1:1">
      <c r="A26" s="100" t="s">
        <v>478</v>
      </c>
    </row>
    <row r="27" spans="1:1">
      <c r="A27" s="100" t="s">
        <v>479</v>
      </c>
    </row>
    <row r="28" spans="1:1">
      <c r="A28" s="100" t="s">
        <v>480</v>
      </c>
    </row>
    <row r="29" spans="1:1">
      <c r="A29" s="100" t="s">
        <v>481</v>
      </c>
    </row>
    <row r="30" spans="1:1">
      <c r="A30" s="100" t="s">
        <v>482</v>
      </c>
    </row>
    <row r="31" spans="1:1">
      <c r="A31" s="100" t="s">
        <v>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8"/>
  <sheetViews>
    <sheetView workbookViewId="0">
      <selection activeCell="A47" sqref="A47:XFD58"/>
    </sheetView>
  </sheetViews>
  <sheetFormatPr defaultColWidth="9.109375" defaultRowHeight="13.2"/>
  <cols>
    <col min="1" max="1" width="5.109375" style="1" customWidth="1"/>
    <col min="2" max="2" width="9.109375" style="2"/>
    <col min="3" max="3" width="14.6640625" style="2" customWidth="1"/>
    <col min="4" max="4" width="9.109375" style="2"/>
    <col min="5" max="5" width="52" style="3" customWidth="1"/>
    <col min="6" max="16384" width="9.109375" style="2"/>
  </cols>
  <sheetData>
    <row r="1" spans="1:5" s="1" customFormat="1">
      <c r="B1" s="1" t="s">
        <v>82</v>
      </c>
      <c r="C1" s="1" t="s">
        <v>369</v>
      </c>
      <c r="D1" s="1" t="s">
        <v>370</v>
      </c>
      <c r="E1" s="4"/>
    </row>
    <row r="2" spans="1:5" s="1" customFormat="1">
      <c r="E2" s="4"/>
    </row>
    <row r="3" spans="1:5" s="1" customFormat="1">
      <c r="A3" s="1">
        <v>1</v>
      </c>
      <c r="B3" s="1" t="s">
        <v>371</v>
      </c>
      <c r="E3" s="4"/>
    </row>
    <row r="4" spans="1:5">
      <c r="B4" s="2" t="s">
        <v>372</v>
      </c>
      <c r="C4" s="2" t="s">
        <v>373</v>
      </c>
      <c r="E4" s="3" t="s">
        <v>374</v>
      </c>
    </row>
    <row r="5" spans="1:5">
      <c r="B5" s="23" t="s">
        <v>445</v>
      </c>
      <c r="C5" s="2" t="s">
        <v>373</v>
      </c>
      <c r="E5" s="42" t="s">
        <v>446</v>
      </c>
    </row>
    <row r="8" spans="1:5" s="1" customFormat="1">
      <c r="A8" s="1">
        <v>2</v>
      </c>
      <c r="B8" s="1" t="s">
        <v>375</v>
      </c>
      <c r="E8" s="4"/>
    </row>
    <row r="9" spans="1:5">
      <c r="B9" s="23" t="s">
        <v>102</v>
      </c>
      <c r="C9" s="23" t="s">
        <v>447</v>
      </c>
      <c r="E9" s="42" t="s">
        <v>448</v>
      </c>
    </row>
    <row r="10" spans="1:5">
      <c r="B10" s="23" t="s">
        <v>449</v>
      </c>
      <c r="C10" s="23" t="s">
        <v>447</v>
      </c>
      <c r="E10" s="42" t="s">
        <v>450</v>
      </c>
    </row>
    <row r="14" spans="1:5" s="1" customFormat="1">
      <c r="A14" s="1">
        <v>3</v>
      </c>
      <c r="B14" s="1" t="s">
        <v>376</v>
      </c>
      <c r="E14" s="4"/>
    </row>
    <row r="15" spans="1:5">
      <c r="B15" s="2" t="s">
        <v>377</v>
      </c>
      <c r="C15" s="2" t="s">
        <v>373</v>
      </c>
      <c r="D15" s="2" t="s">
        <v>378</v>
      </c>
      <c r="E15" s="3" t="s">
        <v>379</v>
      </c>
    </row>
    <row r="17" spans="1:5">
      <c r="A17" s="1">
        <v>4</v>
      </c>
      <c r="B17" s="1" t="s">
        <v>380</v>
      </c>
    </row>
    <row r="18" spans="1:5">
      <c r="B18" s="2" t="s">
        <v>381</v>
      </c>
      <c r="C18" s="2" t="s">
        <v>373</v>
      </c>
      <c r="E18" s="3" t="s">
        <v>382</v>
      </c>
    </row>
    <row r="19" spans="1:5">
      <c r="B19" s="2" t="s">
        <v>383</v>
      </c>
      <c r="C19" s="2" t="s">
        <v>373</v>
      </c>
      <c r="D19" s="2" t="s">
        <v>384</v>
      </c>
    </row>
    <row r="20" spans="1:5">
      <c r="B20" s="2" t="s">
        <v>385</v>
      </c>
      <c r="C20" s="2" t="s">
        <v>373</v>
      </c>
      <c r="E20" s="3" t="s">
        <v>386</v>
      </c>
    </row>
    <row r="21" spans="1:5">
      <c r="B21" s="2" t="s">
        <v>387</v>
      </c>
      <c r="C21" s="2" t="s">
        <v>373</v>
      </c>
      <c r="D21" s="2" t="s">
        <v>388</v>
      </c>
    </row>
    <row r="22" spans="1:5" ht="39.6">
      <c r="B22" s="2" t="s">
        <v>389</v>
      </c>
      <c r="C22" s="2" t="s">
        <v>373</v>
      </c>
      <c r="E22" s="3" t="s">
        <v>390</v>
      </c>
    </row>
    <row r="24" spans="1:5">
      <c r="A24" s="1">
        <v>5</v>
      </c>
      <c r="B24" s="1" t="s">
        <v>391</v>
      </c>
      <c r="C24" s="2" t="s">
        <v>392</v>
      </c>
    </row>
    <row r="25" spans="1:5">
      <c r="B25" s="2" t="s">
        <v>393</v>
      </c>
      <c r="C25" s="2" t="s">
        <v>373</v>
      </c>
      <c r="E25" s="3" t="s">
        <v>394</v>
      </c>
    </row>
    <row r="26" spans="1:5">
      <c r="B26" s="2" t="s">
        <v>395</v>
      </c>
      <c r="C26" s="2" t="s">
        <v>373</v>
      </c>
      <c r="E26" s="3" t="s">
        <v>396</v>
      </c>
    </row>
    <row r="27" spans="1:5">
      <c r="B27" s="2" t="s">
        <v>397</v>
      </c>
      <c r="C27" s="2" t="s">
        <v>373</v>
      </c>
      <c r="E27" s="3" t="s">
        <v>398</v>
      </c>
    </row>
    <row r="28" spans="1:5">
      <c r="B28" s="2" t="s">
        <v>274</v>
      </c>
      <c r="C28" s="2" t="s">
        <v>373</v>
      </c>
      <c r="E28" s="3" t="s">
        <v>399</v>
      </c>
    </row>
    <row r="29" spans="1:5">
      <c r="B29" s="2" t="s">
        <v>400</v>
      </c>
      <c r="C29" s="2" t="s">
        <v>373</v>
      </c>
      <c r="E29" s="3" t="s">
        <v>401</v>
      </c>
    </row>
    <row r="30" spans="1:5">
      <c r="B30" s="2" t="s">
        <v>402</v>
      </c>
      <c r="C30" s="2" t="s">
        <v>373</v>
      </c>
      <c r="E30" s="3" t="s">
        <v>403</v>
      </c>
    </row>
    <row r="31" spans="1:5">
      <c r="B31" s="2" t="s">
        <v>404</v>
      </c>
      <c r="C31" s="2" t="s">
        <v>373</v>
      </c>
      <c r="E31" s="3" t="s">
        <v>405</v>
      </c>
    </row>
    <row r="32" spans="1:5">
      <c r="B32" s="2" t="s">
        <v>406</v>
      </c>
      <c r="C32" s="2" t="s">
        <v>373</v>
      </c>
      <c r="E32" s="3" t="s">
        <v>407</v>
      </c>
    </row>
    <row r="33" spans="1:5">
      <c r="B33" s="2" t="s">
        <v>408</v>
      </c>
      <c r="C33" s="2" t="s">
        <v>373</v>
      </c>
      <c r="E33" s="3" t="s">
        <v>409</v>
      </c>
    </row>
    <row r="34" spans="1:5">
      <c r="B34" s="2" t="s">
        <v>410</v>
      </c>
      <c r="C34" s="2" t="s">
        <v>373</v>
      </c>
      <c r="E34" s="3" t="s">
        <v>411</v>
      </c>
    </row>
    <row r="35" spans="1:5">
      <c r="B35" s="2" t="s">
        <v>387</v>
      </c>
      <c r="C35" s="2" t="s">
        <v>373</v>
      </c>
      <c r="E35" s="3" t="s">
        <v>412</v>
      </c>
    </row>
    <row r="36" spans="1:5">
      <c r="B36" s="2" t="s">
        <v>413</v>
      </c>
      <c r="C36" s="2" t="s">
        <v>373</v>
      </c>
      <c r="E36" s="3" t="s">
        <v>414</v>
      </c>
    </row>
    <row r="38" spans="1:5">
      <c r="A38" s="1">
        <v>6</v>
      </c>
      <c r="B38" s="1" t="s">
        <v>415</v>
      </c>
      <c r="C38" s="2" t="s">
        <v>416</v>
      </c>
    </row>
    <row r="41" spans="1:5">
      <c r="A41" s="1">
        <v>7</v>
      </c>
      <c r="B41" s="1" t="s">
        <v>417</v>
      </c>
    </row>
    <row r="42" spans="1:5">
      <c r="B42" s="2" t="s">
        <v>418</v>
      </c>
      <c r="C42" s="2" t="s">
        <v>373</v>
      </c>
      <c r="E42" s="3" t="s">
        <v>419</v>
      </c>
    </row>
    <row r="43" spans="1:5">
      <c r="B43" s="2">
        <v>8</v>
      </c>
      <c r="C43" s="2" t="s">
        <v>373</v>
      </c>
      <c r="E43" s="3" t="s">
        <v>420</v>
      </c>
    </row>
    <row r="44" spans="1:5">
      <c r="B44" s="2">
        <v>73</v>
      </c>
      <c r="C44" s="2" t="s">
        <v>373</v>
      </c>
      <c r="E44" s="3" t="s">
        <v>421</v>
      </c>
    </row>
    <row r="45" spans="1:5">
      <c r="B45" s="2">
        <v>74</v>
      </c>
      <c r="C45" s="2" t="s">
        <v>373</v>
      </c>
      <c r="E45" s="3" t="s">
        <v>422</v>
      </c>
    </row>
    <row r="49" spans="1:5">
      <c r="A49" s="1">
        <v>13</v>
      </c>
      <c r="B49" s="1" t="s">
        <v>423</v>
      </c>
    </row>
    <row r="50" spans="1:5">
      <c r="B50" s="5" t="s">
        <v>424</v>
      </c>
      <c r="C50" s="2" t="s">
        <v>373</v>
      </c>
      <c r="E50" s="3" t="s">
        <v>425</v>
      </c>
    </row>
    <row r="51" spans="1:5">
      <c r="B51" s="5" t="s">
        <v>426</v>
      </c>
      <c r="C51" s="2" t="s">
        <v>373</v>
      </c>
      <c r="E51" s="3" t="s">
        <v>427</v>
      </c>
    </row>
    <row r="52" spans="1:5">
      <c r="B52" s="5" t="s">
        <v>428</v>
      </c>
      <c r="C52" s="2" t="s">
        <v>373</v>
      </c>
      <c r="E52" s="3" t="s">
        <v>429</v>
      </c>
    </row>
    <row r="53" spans="1:5">
      <c r="B53" s="5" t="s">
        <v>430</v>
      </c>
      <c r="C53" s="2" t="s">
        <v>373</v>
      </c>
      <c r="E53" s="3" t="s">
        <v>431</v>
      </c>
    </row>
    <row r="54" spans="1:5">
      <c r="B54" s="5" t="s">
        <v>432</v>
      </c>
      <c r="C54" s="2" t="s">
        <v>373</v>
      </c>
      <c r="E54" s="3" t="s">
        <v>433</v>
      </c>
    </row>
    <row r="55" spans="1:5">
      <c r="B55" s="5" t="s">
        <v>434</v>
      </c>
      <c r="C55" s="2" t="s">
        <v>373</v>
      </c>
      <c r="E55" s="3" t="s">
        <v>435</v>
      </c>
    </row>
    <row r="56" spans="1:5">
      <c r="B56" s="5" t="s">
        <v>436</v>
      </c>
      <c r="C56" s="2" t="s">
        <v>373</v>
      </c>
      <c r="E56" s="3" t="s">
        <v>437</v>
      </c>
    </row>
    <row r="57" spans="1:5">
      <c r="B57" s="5">
        <v>175</v>
      </c>
      <c r="C57" s="2" t="s">
        <v>373</v>
      </c>
      <c r="E57" s="3" t="s">
        <v>438</v>
      </c>
    </row>
    <row r="58" spans="1:5">
      <c r="B58" s="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B5C2581688341A34749D90856701C" ma:contentTypeVersion="10" ma:contentTypeDescription="Create a new document." ma:contentTypeScope="" ma:versionID="56c7d12753a0efedb2d7577632cdcfd6">
  <xsd:schema xmlns:xsd="http://www.w3.org/2001/XMLSchema" xmlns:xs="http://www.w3.org/2001/XMLSchema" xmlns:p="http://schemas.microsoft.com/office/2006/metadata/properties" xmlns:ns2="9a609ac7-e64c-4f39-ac9d-4cf3ac76d01f" xmlns:ns3="dd7cb2b1-7279-4f04-90b7-7baa0908c4b1" targetNamespace="http://schemas.microsoft.com/office/2006/metadata/properties" ma:root="true" ma:fieldsID="1d239e1c324a8294703e12160362df0f" ns2:_="" ns3:_="">
    <xsd:import namespace="9a609ac7-e64c-4f39-ac9d-4cf3ac76d01f"/>
    <xsd:import namespace="dd7cb2b1-7279-4f04-90b7-7baa0908c4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09ac7-e64c-4f39-ac9d-4cf3ac76d0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cb2b1-7279-4f04-90b7-7baa0908c4b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2DD24A-BFD2-40EC-BBF2-A9313C2CC89D}">
  <ds:schemaRefs>
    <ds:schemaRef ds:uri="9a609ac7-e64c-4f39-ac9d-4cf3ac76d01f"/>
    <ds:schemaRef ds:uri="http://schemas.microsoft.com/office/2006/documentManagement/types"/>
    <ds:schemaRef ds:uri="http://purl.org/dc/dcmitype/"/>
    <ds:schemaRef ds:uri="http://www.w3.org/XML/1998/namespace"/>
    <ds:schemaRef ds:uri="dd7cb2b1-7279-4f04-90b7-7baa0908c4b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B97012-41E5-4B5F-9FAD-7468EEA51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09ac7-e64c-4f39-ac9d-4cf3ac76d01f"/>
    <ds:schemaRef ds:uri="dd7cb2b1-7279-4f04-90b7-7baa0908c4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B1901B-109C-4786-B99A-8E4F11CD78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</vt:lpstr>
      <vt:lpstr>Introduction</vt:lpstr>
      <vt:lpstr> Inbound X12 to Oracle</vt:lpstr>
      <vt:lpstr>Sample Inbound Oracle File</vt:lpstr>
      <vt:lpstr>Sample X12</vt:lpstr>
      <vt:lpstr>(4) X12 cd values</vt:lpstr>
      <vt:lpstr>' Inbound X12 to Oracle'!Print_Area</vt:lpstr>
      <vt:lpstr>' Inbound X12 to Oracle'!Print_Titles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Inbound 850 Mapping</dc:title>
  <dc:subject/>
  <dc:creator>Henry Rose</dc:creator>
  <cp:keywords/>
  <dc:description>850 - Inbound 850 Mapping Document</dc:description>
  <cp:lastModifiedBy>Admin</cp:lastModifiedBy>
  <cp:revision/>
  <dcterms:created xsi:type="dcterms:W3CDTF">2004-01-29T20:02:25Z</dcterms:created>
  <dcterms:modified xsi:type="dcterms:W3CDTF">2025-10-07T15:46:06Z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0x0101001BAB5C2581688341A34749D90856701C</vt:lpwstr>
  </property>
  <property fmtid="{D5CDD505-2E9C-101B-9397-08002B2CF9AE}" pid="3" name="MSIP_Label_d98db05b-8d0f-4671-968e-683e694bb3b1_Enabled">
    <vt:lpwstr>true</vt:lpwstr>
  </property>
  <property fmtid="{D5CDD505-2E9C-101B-9397-08002B2CF9AE}" pid="4" name="MSIP_Label_d98db05b-8d0f-4671-968e-683e694bb3b1_SetDate">
    <vt:lpwstr>2023-07-13T13:54:03Z</vt:lpwstr>
  </property>
  <property fmtid="{D5CDD505-2E9C-101B-9397-08002B2CF9AE}" pid="5" name="MSIP_Label_d98db05b-8d0f-4671-968e-683e694bb3b1_Method">
    <vt:lpwstr>Standard</vt:lpwstr>
  </property>
  <property fmtid="{D5CDD505-2E9C-101B-9397-08002B2CF9AE}" pid="6" name="MSIP_Label_d98db05b-8d0f-4671-968e-683e694bb3b1_Name">
    <vt:lpwstr>d98db05b-8d0f-4671-968e-683e694bb3b1</vt:lpwstr>
  </property>
  <property fmtid="{D5CDD505-2E9C-101B-9397-08002B2CF9AE}" pid="7" name="MSIP_Label_d98db05b-8d0f-4671-968e-683e694bb3b1_SiteId">
    <vt:lpwstr>a4f1aa99-bd23-4521-a3c0-1d07bdce1616</vt:lpwstr>
  </property>
  <property fmtid="{D5CDD505-2E9C-101B-9397-08002B2CF9AE}" pid="8" name="MSIP_Label_d98db05b-8d0f-4671-968e-683e694bb3b1_ActionId">
    <vt:lpwstr>ee0a6eef-c8e4-440f-a32e-bf5866dde1f9</vt:lpwstr>
  </property>
  <property fmtid="{D5CDD505-2E9C-101B-9397-08002B2CF9AE}" pid="9" name="MSIP_Label_d98db05b-8d0f-4671-968e-683e694bb3b1_ContentBits">
    <vt:lpwstr>0</vt:lpwstr>
  </property>
</Properties>
</file>